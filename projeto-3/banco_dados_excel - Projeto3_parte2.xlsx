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drawings/drawing9.xml" ContentType="application/vnd.openxmlformats-officedocument.drawingml.chartshapes+xml"/>
  <Override PartName="/xl/pivotTables/pivotTable9.xml" ContentType="application/vnd.openxmlformats-officedocument.spreadsheetml.pivotTab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pivotTables/pivotTable10.xml" ContentType="application/vnd.openxmlformats-officedocument.spreadsheetml.pivotTab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pivotTables/pivotTable11.xml" ContentType="application/vnd.openxmlformats-officedocument.spreadsheetml.pivotTab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pivotTables/pivotTable12.xml" ContentType="application/vnd.openxmlformats-officedocument.spreadsheetml.pivotTab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drawings/drawing14.xml" ContentType="application/vnd.openxmlformats-officedocument.drawingml.chartshapes+xml"/>
  <Override PartName="/xl/pivotTables/pivotTable13.xml" ContentType="application/vnd.openxmlformats-officedocument.spreadsheetml.pivotTab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pivotTables/pivotTable14.xml" ContentType="application/vnd.openxmlformats-officedocument.spreadsheetml.pivotTab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pivotTables/pivotTable15.xml" ContentType="application/vnd.openxmlformats-officedocument.spreadsheetml.pivotTab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drawings/drawing18.xml" ContentType="application/vnd.openxmlformats-officedocument.drawingml.chartshapes+xml"/>
  <Override PartName="/xl/pivotTables/pivotTable16.xml" ContentType="application/vnd.openxmlformats-officedocument.spreadsheetml.pivotTable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xl/drawings/drawing20.xml" ContentType="application/vnd.openxmlformats-officedocument.drawingml.chartshapes+xml"/>
  <Override PartName="/xl/pivotTables/pivotTable17.xml" ContentType="application/vnd.openxmlformats-officedocument.spreadsheetml.pivotTable+xml"/>
  <Override PartName="/xl/drawings/drawing21.xml" ContentType="application/vnd.openxmlformats-officedocument.drawing+xml"/>
  <Override PartName="/xl/charts/chart1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5200" windowHeight="11985"/>
  </bookViews>
  <sheets>
    <sheet name="LEGENDA" sheetId="43" r:id="rId1"/>
    <sheet name="dimensao_bairro" sheetId="42" r:id="rId2"/>
    <sheet name="tabela_origem" sheetId="1" r:id="rId3"/>
    <sheet name="Análise_faixa_distancia" sheetId="34" r:id="rId4"/>
    <sheet name="faixa_distancia x periodo" sheetId="36" r:id="rId5"/>
    <sheet name="comportamento_op_pulverizado" sheetId="37" r:id="rId6"/>
    <sheet name="comportamento_agrupamento_horas" sheetId="38" r:id="rId7"/>
    <sheet name="ticket_medio_faixa_horaria" sheetId="39" r:id="rId8"/>
    <sheet name="ticket_medio x distancia x peri" sheetId="40" r:id="rId9"/>
    <sheet name="faturamento_faixa_horaria" sheetId="41" r:id="rId10"/>
    <sheet name="regional x periodo" sheetId="44" r:id="rId11"/>
    <sheet name="ticket_medio_faixa_horaria (2)" sheetId="51" r:id="rId12"/>
    <sheet name="comportamento_agrupamento_h (2" sheetId="52" r:id="rId13"/>
    <sheet name="faturamento_faixa_horaria (2)" sheetId="53" r:id="rId14"/>
    <sheet name="regional x faixa_distancia" sheetId="45" r:id="rId15"/>
    <sheet name="ticket_medio_regional" sheetId="46" r:id="rId16"/>
    <sheet name="produtividade_regional" sheetId="47" r:id="rId17"/>
    <sheet name="produtividade x ticket" sheetId="48" r:id="rId18"/>
    <sheet name="rentabilidade_regional" sheetId="49" r:id="rId19"/>
    <sheet name="dashboard_operacional" sheetId="50" r:id="rId20"/>
  </sheets>
  <definedNames>
    <definedName name="_xlnm._FilterDatabase" localSheetId="1" hidden="1">dimensao_bairro!$A$1:$B$590</definedName>
    <definedName name="_xlnm._FilterDatabase" localSheetId="2" hidden="1">tabela_origem!$A$1:$I$1</definedName>
  </definedNames>
  <calcPr calcId="152511"/>
  <pivotCaches>
    <pivotCache cacheId="0" r:id="rId21"/>
    <pivotCache cacheId="1" r:id="rId22"/>
  </pivotCaches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2" i="1"/>
  <c r="P8" i="1" l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3" i="1"/>
  <c r="P4" i="1"/>
  <c r="P5" i="1"/>
  <c r="P6" i="1"/>
  <c r="P7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3" i="1"/>
  <c r="O4" i="1"/>
  <c r="O5" i="1"/>
  <c r="O6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3" i="1"/>
  <c r="M4" i="1"/>
  <c r="M5" i="1"/>
  <c r="M6" i="1"/>
  <c r="M7" i="1"/>
  <c r="M2" i="1"/>
  <c r="P2" i="1" l="1"/>
  <c r="O2" i="1"/>
  <c r="N2" i="1"/>
  <c r="N3" i="1"/>
  <c r="U10" i="1" l="1"/>
  <c r="U9" i="1"/>
  <c r="U8" i="1"/>
  <c r="R2" i="1"/>
  <c r="R4" i="1"/>
  <c r="S4" i="1"/>
  <c r="R3" i="1"/>
  <c r="S3" i="1"/>
  <c r="S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2" i="1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2" i="1"/>
</calcChain>
</file>

<file path=xl/comments1.xml><?xml version="1.0" encoding="utf-8"?>
<comments xmlns="http://schemas.openxmlformats.org/spreadsheetml/2006/main">
  <authors>
    <author>Autor</author>
  </authors>
  <commentList>
    <comment ref="M1" authorId="0" shapeId="0">
      <text>
        <r>
          <rPr>
            <b/>
            <sz val="9"/>
            <color indexed="81"/>
            <rFont val="Tahoma"/>
            <charset val="1"/>
          </rPr>
          <t>O 2 significa a posição "coluna B" na aba dimensao_bairro;
FALSO querdizer que quer resultado exato.</t>
        </r>
      </text>
    </comment>
    <comment ref="Q1" authorId="0" shapeId="0">
      <text>
        <r>
          <rPr>
            <b/>
            <sz val="9"/>
            <color indexed="81"/>
            <rFont val="Tahoma"/>
            <charset val="1"/>
          </rPr>
          <t>Objetivo:Contar quantas vezes uma condição acontece</t>
        </r>
      </text>
    </comment>
    <comment ref="R1" authorId="0" shapeId="0">
      <text>
        <r>
          <rPr>
            <b/>
            <sz val="9"/>
            <color indexed="81"/>
            <rFont val="Tahoma"/>
            <charset val="1"/>
          </rPr>
          <t>Objetivo:Contar quantas vezes uma condição acontece</t>
        </r>
      </text>
    </comment>
    <comment ref="S1" authorId="0" shapeId="0">
      <text>
        <r>
          <rPr>
            <b/>
            <sz val="9"/>
            <color indexed="81"/>
            <rFont val="Tahoma"/>
            <charset val="1"/>
          </rPr>
          <t>Objetivo somar valores que atendem determinada condição.
Atende 1 condição</t>
        </r>
      </text>
    </comment>
    <comment ref="D2" authorId="0" shapeId="0">
      <text>
        <r>
          <rPr>
            <b/>
            <sz val="9"/>
            <color indexed="81"/>
            <rFont val="Tahoma"/>
            <charset val="1"/>
          </rPr>
          <t>Porque hh&amp;h?</t>
        </r>
      </text>
    </comment>
    <comment ref="N2" authorId="0" shapeId="0">
      <text>
        <r>
          <rPr>
            <b/>
            <sz val="9"/>
            <color indexed="81"/>
            <rFont val="Tahoma"/>
            <charset val="1"/>
          </rPr>
          <t>Erro de versão, há incompatibilidade no comando porque a versão não tem PROCX</t>
        </r>
      </text>
    </comment>
    <comment ref="U2" authorId="0" shapeId="0">
      <text>
        <r>
          <rPr>
            <b/>
            <sz val="9"/>
            <color indexed="81"/>
            <rFont val="Tahoma"/>
            <charset val="1"/>
          </rPr>
          <t>G:G - somar valor_corrida,
O:O - onde está a classificiação;
"ALTO" - primeira condição;
B:B - onde e está o período;;
"TARDE" - segunda condição.</t>
        </r>
      </text>
    </comment>
    <comment ref="N3" authorId="0" shapeId="0">
      <text>
        <r>
          <rPr>
            <b/>
            <sz val="9"/>
            <color indexed="81"/>
            <rFont val="Tahoma"/>
            <charset val="1"/>
          </rPr>
          <t>erro de reconhecimento de função que prova que o computador não tem PROCX</t>
        </r>
      </text>
    </comment>
  </commentList>
</comments>
</file>

<file path=xl/sharedStrings.xml><?xml version="1.0" encoding="utf-8"?>
<sst xmlns="http://schemas.openxmlformats.org/spreadsheetml/2006/main" count="3760" uniqueCount="142">
  <si>
    <t>data</t>
  </si>
  <si>
    <t>bairro_origem</t>
  </si>
  <si>
    <t>bairro_destino</t>
  </si>
  <si>
    <t>distância_km</t>
  </si>
  <si>
    <t>periodo</t>
  </si>
  <si>
    <t>Guaíra</t>
  </si>
  <si>
    <t>Portão</t>
  </si>
  <si>
    <t>tarde</t>
  </si>
  <si>
    <t>Lindóia</t>
  </si>
  <si>
    <t>Água Verde</t>
  </si>
  <si>
    <t>Parolin</t>
  </si>
  <si>
    <t>Hauer</t>
  </si>
  <si>
    <t>Fanny</t>
  </si>
  <si>
    <t>Centro</t>
  </si>
  <si>
    <t>Uberaba</t>
  </si>
  <si>
    <t>Boqueirão</t>
  </si>
  <si>
    <t>Sítio Cercado</t>
  </si>
  <si>
    <t>Alto Boqueirão</t>
  </si>
  <si>
    <t>São Francisco</t>
  </si>
  <si>
    <t>Alto da Glória</t>
  </si>
  <si>
    <t>Rebouças</t>
  </si>
  <si>
    <t>Mercês</t>
  </si>
  <si>
    <t>Bigorrílho</t>
  </si>
  <si>
    <t>Xaxim</t>
  </si>
  <si>
    <t>Pinheirinho</t>
  </si>
  <si>
    <t>Guabirotuba</t>
  </si>
  <si>
    <t>Novo Mundo</t>
  </si>
  <si>
    <t>Capão Raso</t>
  </si>
  <si>
    <t>Cidade Industrial de Curitiba</t>
  </si>
  <si>
    <t>Fazendinha</t>
  </si>
  <si>
    <t>Santa Quitéria</t>
  </si>
  <si>
    <t>Campo Comprido</t>
  </si>
  <si>
    <t>Vila izabel</t>
  </si>
  <si>
    <t>Seminário</t>
  </si>
  <si>
    <t>Prado Velho</t>
  </si>
  <si>
    <t>Jardim Botânico</t>
  </si>
  <si>
    <t>Vila Izabel</t>
  </si>
  <si>
    <t>vila Izabel</t>
  </si>
  <si>
    <t>Batel</t>
  </si>
  <si>
    <t>Sergipe</t>
  </si>
  <si>
    <t>horario</t>
  </si>
  <si>
    <t>valor_corrida</t>
  </si>
  <si>
    <t>manhã</t>
  </si>
  <si>
    <t>Jardim das Américas</t>
  </si>
  <si>
    <t>Cajuru</t>
  </si>
  <si>
    <t>Juvevê</t>
  </si>
  <si>
    <t>Santa Cândida</t>
  </si>
  <si>
    <t>Boa Vista</t>
  </si>
  <si>
    <t>Cabral</t>
  </si>
  <si>
    <t>Ahú</t>
  </si>
  <si>
    <t>Campina do Siqueira</t>
  </si>
  <si>
    <t>Mossunguê</t>
  </si>
  <si>
    <t>Alto da XV</t>
  </si>
  <si>
    <t>Cristo Rei</t>
  </si>
  <si>
    <t>Total Geral</t>
  </si>
  <si>
    <t/>
  </si>
  <si>
    <t>ticket_medio</t>
  </si>
  <si>
    <t>faturamento</t>
  </si>
  <si>
    <t>Qtd. Corridas</t>
  </si>
  <si>
    <t>Média</t>
  </si>
  <si>
    <t>faixa_distancia</t>
  </si>
  <si>
    <t>Curta</t>
  </si>
  <si>
    <t>Longa</t>
  </si>
  <si>
    <t>Faixa_distancia</t>
  </si>
  <si>
    <t>Rótulos de Coluna</t>
  </si>
  <si>
    <t>Contagem de valor_corrida</t>
  </si>
  <si>
    <t>Rótulos de Linha</t>
  </si>
  <si>
    <t>(vazio)</t>
  </si>
  <si>
    <t>Contagem de distância_km</t>
  </si>
  <si>
    <t>horário</t>
  </si>
  <si>
    <t>faixa_horaria</t>
  </si>
  <si>
    <t>00h</t>
  </si>
  <si>
    <t>07h</t>
  </si>
  <si>
    <t>08h</t>
  </si>
  <si>
    <t>09h</t>
  </si>
  <si>
    <t>10h</t>
  </si>
  <si>
    <t>15h</t>
  </si>
  <si>
    <t>16h</t>
  </si>
  <si>
    <t>17h</t>
  </si>
  <si>
    <t>18h</t>
  </si>
  <si>
    <t>19h</t>
  </si>
  <si>
    <t>20h</t>
  </si>
  <si>
    <t>Média de valor_corrida</t>
  </si>
  <si>
    <t>Bairro Novo</t>
  </si>
  <si>
    <t>CIC</t>
  </si>
  <si>
    <t>Matriz</t>
  </si>
  <si>
    <t>Santa Felicidade</t>
  </si>
  <si>
    <t>bairro</t>
  </si>
  <si>
    <t>coluna_SE_classificacao_valor_corrida</t>
  </si>
  <si>
    <t>BAIXO</t>
  </si>
  <si>
    <t>MÉDIO</t>
  </si>
  <si>
    <t>ALTO</t>
  </si>
  <si>
    <t>coluna_CONT.SE_classificacao</t>
  </si>
  <si>
    <t>coluna_CONT.SE_quantidade</t>
  </si>
  <si>
    <t>coluna_SOMASE_faturamento</t>
  </si>
  <si>
    <t>coluna_SOMASES</t>
  </si>
  <si>
    <t>B</t>
  </si>
  <si>
    <t>classificacao</t>
  </si>
  <si>
    <t>conteudo_SOMASES</t>
  </si>
  <si>
    <t>regional_origem_PROCV</t>
  </si>
  <si>
    <t>regional_origem_PROCX</t>
  </si>
  <si>
    <t>regional_origem_indice_CORRESP</t>
  </si>
  <si>
    <t>G</t>
  </si>
  <si>
    <t>valor_venda</t>
  </si>
  <si>
    <t>S</t>
  </si>
  <si>
    <t>O</t>
  </si>
  <si>
    <t>resultado</t>
  </si>
  <si>
    <t>condicao</t>
  </si>
  <si>
    <t>ALTO+MANHÃ</t>
  </si>
  <si>
    <t>ALTO+TARDE</t>
  </si>
  <si>
    <t>MÉDIO+TARDE</t>
  </si>
  <si>
    <t>operação/distribuição</t>
  </si>
  <si>
    <t>estrutura técnica</t>
  </si>
  <si>
    <t>comportamento temporal</t>
  </si>
  <si>
    <t>financeiro/ticket/faturamento</t>
  </si>
  <si>
    <t>regional_origem</t>
  </si>
  <si>
    <t>#N/D</t>
  </si>
  <si>
    <t>Soma de valor_corrida</t>
  </si>
  <si>
    <t>Ticket médio</t>
  </si>
  <si>
    <t>Regional</t>
  </si>
  <si>
    <t>Faturamento</t>
  </si>
  <si>
    <t>distância_média_km</t>
  </si>
  <si>
    <t>Contagem</t>
  </si>
  <si>
    <t>Soma</t>
  </si>
  <si>
    <t>Apresentação executiva</t>
  </si>
  <si>
    <t>1. Técnica</t>
  </si>
  <si>
    <t>1.1 tabela_origem</t>
  </si>
  <si>
    <t>1.1.1 base operacional;</t>
  </si>
  <si>
    <t>1.1.2 fórmulas;</t>
  </si>
  <si>
    <t>1.1.3 classificações;</t>
  </si>
  <si>
    <t>1.1.4 PROVC</t>
  </si>
  <si>
    <t>1.1.5 PROCX</t>
  </si>
  <si>
    <t>1.1.6 SE</t>
  </si>
  <si>
    <t>1.1.7 SOMASE</t>
  </si>
  <si>
    <t>1.1.8 SOMASES</t>
  </si>
  <si>
    <t>2. Apresentação Executiva</t>
  </si>
  <si>
    <t>2.1 regional x período</t>
  </si>
  <si>
    <t>2.4 faturamento_faixa_horaria (2)</t>
  </si>
  <si>
    <t>2.3 comportamento_agrupamento (2)</t>
  </si>
  <si>
    <t>2.2 ticket_medio_faixa_horaria (2)</t>
  </si>
  <si>
    <t>faixa por hora</t>
  </si>
  <si>
    <t>Valor Corrida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</si>
</sst>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NumberFormat="1"/>
    <xf numFmtId="21" fontId="0" fillId="0" borderId="0" xfId="0" applyNumberFormat="1" applyAlignment="1">
      <alignment horizontal="left"/>
    </xf>
    <xf numFmtId="0" fontId="0" fillId="2" borderId="0" xfId="0" applyFill="1"/>
    <xf numFmtId="0" fontId="0" fillId="3" borderId="0" xfId="0" applyFill="1" applyAlignment="1"/>
    <xf numFmtId="0" fontId="0" fillId="0" borderId="0" xfId="0" applyAlignment="1"/>
    <xf numFmtId="0" fontId="0" fillId="5" borderId="0" xfId="0" applyFill="1"/>
    <xf numFmtId="0" fontId="0" fillId="6" borderId="0" xfId="0" applyFill="1"/>
    <xf numFmtId="0" fontId="0" fillId="7" borderId="0" xfId="0" applyFill="1" applyAlignment="1"/>
    <xf numFmtId="0" fontId="0" fillId="4" borderId="0" xfId="0" applyFill="1" applyAlignment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7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C3B9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2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[banco_dados_excel - Projeto3_parte2.xlsx]Análise_faixa_distancia!Tabela dinâmica2</c:name>
    <c:fmtId val="6"/>
  </c:pivotSource>
  <c:chart>
    <c:title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Análise_faixa_distancia!$B$1</c:f>
              <c:strCache>
                <c:ptCount val="1"/>
                <c:pt idx="0">
                  <c:v>Qtd. Corridas</c:v>
                </c:pt>
              </c:strCache>
            </c:strRef>
          </c:tx>
          <c:cat>
            <c:strRef>
              <c:f>Análise_faixa_distancia!$A$2:$A$5</c:f>
              <c:strCache>
                <c:ptCount val="3"/>
                <c:pt idx="0">
                  <c:v>Curta</c:v>
                </c:pt>
                <c:pt idx="1">
                  <c:v>Longa</c:v>
                </c:pt>
                <c:pt idx="2">
                  <c:v>Média</c:v>
                </c:pt>
              </c:strCache>
            </c:strRef>
          </c:cat>
          <c:val>
            <c:numRef>
              <c:f>Análise_faixa_distancia!$B$2:$B$5</c:f>
              <c:numCache>
                <c:formatCode>General</c:formatCode>
                <c:ptCount val="3"/>
                <c:pt idx="0">
                  <c:v>252</c:v>
                </c:pt>
                <c:pt idx="1">
                  <c:v>65</c:v>
                </c:pt>
                <c:pt idx="2">
                  <c:v>271</c:v>
                </c:pt>
              </c:numCache>
            </c:numRef>
          </c:val>
        </c:ser>
        <c:ser>
          <c:idx val="1"/>
          <c:order val="1"/>
          <c:tx>
            <c:strRef>
              <c:f>Análise_faixa_distancia!$C$1</c:f>
              <c:strCache>
                <c:ptCount val="1"/>
                <c:pt idx="0">
                  <c:v>faturamento</c:v>
                </c:pt>
              </c:strCache>
            </c:strRef>
          </c:tx>
          <c:cat>
            <c:strRef>
              <c:f>Análise_faixa_distancia!$A$2:$A$5</c:f>
              <c:strCache>
                <c:ptCount val="3"/>
                <c:pt idx="0">
                  <c:v>Curta</c:v>
                </c:pt>
                <c:pt idx="1">
                  <c:v>Longa</c:v>
                </c:pt>
                <c:pt idx="2">
                  <c:v>Média</c:v>
                </c:pt>
              </c:strCache>
            </c:strRef>
          </c:cat>
          <c:val>
            <c:numRef>
              <c:f>Análise_faixa_distancia!$C$2:$C$5</c:f>
              <c:numCache>
                <c:formatCode>General</c:formatCode>
                <c:ptCount val="3"/>
                <c:pt idx="0">
                  <c:v>1777.7899999999995</c:v>
                </c:pt>
                <c:pt idx="1">
                  <c:v>1003.9100000000002</c:v>
                </c:pt>
                <c:pt idx="2">
                  <c:v>2143.3999999999987</c:v>
                </c:pt>
              </c:numCache>
            </c:numRef>
          </c:val>
        </c:ser>
        <c:ser>
          <c:idx val="2"/>
          <c:order val="2"/>
          <c:tx>
            <c:strRef>
              <c:f>Análise_faixa_distancia!$D$1</c:f>
              <c:strCache>
                <c:ptCount val="1"/>
                <c:pt idx="0">
                  <c:v>ticket_medio</c:v>
                </c:pt>
              </c:strCache>
            </c:strRef>
          </c:tx>
          <c:cat>
            <c:strRef>
              <c:f>Análise_faixa_distancia!$A$2:$A$5</c:f>
              <c:strCache>
                <c:ptCount val="3"/>
                <c:pt idx="0">
                  <c:v>Curta</c:v>
                </c:pt>
                <c:pt idx="1">
                  <c:v>Longa</c:v>
                </c:pt>
                <c:pt idx="2">
                  <c:v>Média</c:v>
                </c:pt>
              </c:strCache>
            </c:strRef>
          </c:cat>
          <c:val>
            <c:numRef>
              <c:f>Análise_faixa_distancia!$D$2:$D$5</c:f>
              <c:numCache>
                <c:formatCode>General</c:formatCode>
                <c:ptCount val="3"/>
                <c:pt idx="0">
                  <c:v>7.0547222222222201</c:v>
                </c:pt>
                <c:pt idx="1">
                  <c:v>15.444769230769234</c:v>
                </c:pt>
                <c:pt idx="2">
                  <c:v>7.9092250922509182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[banco_dados_excel - Projeto3_parte2.xlsx]Análise_faixa_distancia!Tabela dinâmica2</c:name>
    <c:fmtId val="7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Distribuição operacional por faixa de distância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Análise_faixa_distancia!$B$1</c:f>
              <c:strCache>
                <c:ptCount val="1"/>
                <c:pt idx="0">
                  <c:v>Qtd. Corridas</c:v>
                </c:pt>
              </c:strCache>
            </c:strRef>
          </c:tx>
          <c:cat>
            <c:strRef>
              <c:f>Análise_faixa_distancia!$A$2:$A$5</c:f>
              <c:strCache>
                <c:ptCount val="3"/>
                <c:pt idx="0">
                  <c:v>Curta</c:v>
                </c:pt>
                <c:pt idx="1">
                  <c:v>Longa</c:v>
                </c:pt>
                <c:pt idx="2">
                  <c:v>Média</c:v>
                </c:pt>
              </c:strCache>
            </c:strRef>
          </c:cat>
          <c:val>
            <c:numRef>
              <c:f>Análise_faixa_distancia!$B$2:$B$5</c:f>
              <c:numCache>
                <c:formatCode>General</c:formatCode>
                <c:ptCount val="3"/>
                <c:pt idx="0">
                  <c:v>252</c:v>
                </c:pt>
                <c:pt idx="1">
                  <c:v>65</c:v>
                </c:pt>
                <c:pt idx="2">
                  <c:v>271</c:v>
                </c:pt>
              </c:numCache>
            </c:numRef>
          </c:val>
        </c:ser>
        <c:ser>
          <c:idx val="1"/>
          <c:order val="1"/>
          <c:tx>
            <c:strRef>
              <c:f>Análise_faixa_distancia!$C$1</c:f>
              <c:strCache>
                <c:ptCount val="1"/>
                <c:pt idx="0">
                  <c:v>faturamento</c:v>
                </c:pt>
              </c:strCache>
            </c:strRef>
          </c:tx>
          <c:cat>
            <c:strRef>
              <c:f>Análise_faixa_distancia!$A$2:$A$5</c:f>
              <c:strCache>
                <c:ptCount val="3"/>
                <c:pt idx="0">
                  <c:v>Curta</c:v>
                </c:pt>
                <c:pt idx="1">
                  <c:v>Longa</c:v>
                </c:pt>
                <c:pt idx="2">
                  <c:v>Média</c:v>
                </c:pt>
              </c:strCache>
            </c:strRef>
          </c:cat>
          <c:val>
            <c:numRef>
              <c:f>Análise_faixa_distancia!$C$2:$C$5</c:f>
              <c:numCache>
                <c:formatCode>General</c:formatCode>
                <c:ptCount val="3"/>
                <c:pt idx="0">
                  <c:v>1777.7899999999995</c:v>
                </c:pt>
                <c:pt idx="1">
                  <c:v>1003.9100000000002</c:v>
                </c:pt>
                <c:pt idx="2">
                  <c:v>2143.3999999999987</c:v>
                </c:pt>
              </c:numCache>
            </c:numRef>
          </c:val>
        </c:ser>
        <c:ser>
          <c:idx val="2"/>
          <c:order val="2"/>
          <c:tx>
            <c:strRef>
              <c:f>Análise_faixa_distancia!$D$1</c:f>
              <c:strCache>
                <c:ptCount val="1"/>
                <c:pt idx="0">
                  <c:v>ticket_medio</c:v>
                </c:pt>
              </c:strCache>
            </c:strRef>
          </c:tx>
          <c:cat>
            <c:strRef>
              <c:f>Análise_faixa_distancia!$A$2:$A$5</c:f>
              <c:strCache>
                <c:ptCount val="3"/>
                <c:pt idx="0">
                  <c:v>Curta</c:v>
                </c:pt>
                <c:pt idx="1">
                  <c:v>Longa</c:v>
                </c:pt>
                <c:pt idx="2">
                  <c:v>Média</c:v>
                </c:pt>
              </c:strCache>
            </c:strRef>
          </c:cat>
          <c:val>
            <c:numRef>
              <c:f>Análise_faixa_distancia!$D$2:$D$5</c:f>
              <c:numCache>
                <c:formatCode>General</c:formatCode>
                <c:ptCount val="3"/>
                <c:pt idx="0">
                  <c:v>7.0547222222222201</c:v>
                </c:pt>
                <c:pt idx="1">
                  <c:v>15.444769230769234</c:v>
                </c:pt>
                <c:pt idx="2">
                  <c:v>7.9092250922509182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[banco_dados_excel - Projeto3_parte2.xlsx]Análise_faixa_distancia!Tabela dinâmica2</c:name>
    <c:fmtId val="8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Ticket médio por faixa de distância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Análise_faixa_distancia!$B$1</c:f>
              <c:strCache>
                <c:ptCount val="1"/>
                <c:pt idx="0">
                  <c:v>Qtd. Corridas</c:v>
                </c:pt>
              </c:strCache>
            </c:strRef>
          </c:tx>
          <c:cat>
            <c:strRef>
              <c:f>Análise_faixa_distancia!$A$2:$A$5</c:f>
              <c:strCache>
                <c:ptCount val="3"/>
                <c:pt idx="0">
                  <c:v>Curta</c:v>
                </c:pt>
                <c:pt idx="1">
                  <c:v>Longa</c:v>
                </c:pt>
                <c:pt idx="2">
                  <c:v>Média</c:v>
                </c:pt>
              </c:strCache>
            </c:strRef>
          </c:cat>
          <c:val>
            <c:numRef>
              <c:f>Análise_faixa_distancia!$B$2:$B$5</c:f>
              <c:numCache>
                <c:formatCode>General</c:formatCode>
                <c:ptCount val="3"/>
                <c:pt idx="0">
                  <c:v>252</c:v>
                </c:pt>
                <c:pt idx="1">
                  <c:v>65</c:v>
                </c:pt>
                <c:pt idx="2">
                  <c:v>271</c:v>
                </c:pt>
              </c:numCache>
            </c:numRef>
          </c:val>
        </c:ser>
        <c:ser>
          <c:idx val="1"/>
          <c:order val="1"/>
          <c:tx>
            <c:strRef>
              <c:f>Análise_faixa_distancia!$C$1</c:f>
              <c:strCache>
                <c:ptCount val="1"/>
                <c:pt idx="0">
                  <c:v>faturamento</c:v>
                </c:pt>
              </c:strCache>
            </c:strRef>
          </c:tx>
          <c:cat>
            <c:strRef>
              <c:f>Análise_faixa_distancia!$A$2:$A$5</c:f>
              <c:strCache>
                <c:ptCount val="3"/>
                <c:pt idx="0">
                  <c:v>Curta</c:v>
                </c:pt>
                <c:pt idx="1">
                  <c:v>Longa</c:v>
                </c:pt>
                <c:pt idx="2">
                  <c:v>Média</c:v>
                </c:pt>
              </c:strCache>
            </c:strRef>
          </c:cat>
          <c:val>
            <c:numRef>
              <c:f>Análise_faixa_distancia!$C$2:$C$5</c:f>
              <c:numCache>
                <c:formatCode>General</c:formatCode>
                <c:ptCount val="3"/>
                <c:pt idx="0">
                  <c:v>1777.7899999999995</c:v>
                </c:pt>
                <c:pt idx="1">
                  <c:v>1003.9100000000002</c:v>
                </c:pt>
                <c:pt idx="2">
                  <c:v>2143.3999999999987</c:v>
                </c:pt>
              </c:numCache>
            </c:numRef>
          </c:val>
        </c:ser>
        <c:ser>
          <c:idx val="2"/>
          <c:order val="2"/>
          <c:tx>
            <c:strRef>
              <c:f>Análise_faixa_distancia!$D$1</c:f>
              <c:strCache>
                <c:ptCount val="1"/>
                <c:pt idx="0">
                  <c:v>ticket_medio</c:v>
                </c:pt>
              </c:strCache>
            </c:strRef>
          </c:tx>
          <c:cat>
            <c:strRef>
              <c:f>Análise_faixa_distancia!$A$2:$A$5</c:f>
              <c:strCache>
                <c:ptCount val="3"/>
                <c:pt idx="0">
                  <c:v>Curta</c:v>
                </c:pt>
                <c:pt idx="1">
                  <c:v>Longa</c:v>
                </c:pt>
                <c:pt idx="2">
                  <c:v>Média</c:v>
                </c:pt>
              </c:strCache>
            </c:strRef>
          </c:cat>
          <c:val>
            <c:numRef>
              <c:f>Análise_faixa_distancia!$D$2:$D$5</c:f>
              <c:numCache>
                <c:formatCode>General</c:formatCode>
                <c:ptCount val="3"/>
                <c:pt idx="0">
                  <c:v>7.0547222222222201</c:v>
                </c:pt>
                <c:pt idx="1">
                  <c:v>15.444769230769234</c:v>
                </c:pt>
                <c:pt idx="2">
                  <c:v>7.9092250922509182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[banco_dados_excel - Projeto3_parte2.xlsx]faixa_distancia x periodo!Tabela dinâmica1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7.2182852143482065E-2"/>
          <c:y val="0.25904169866965299"/>
          <c:w val="0.63753937007874018"/>
          <c:h val="0.647640524868518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'faixa_distancia x periodo'!$B$1:$B$2</c:f>
              <c:strCache>
                <c:ptCount val="1"/>
                <c:pt idx="0">
                  <c:v>Curta</c:v>
                </c:pt>
              </c:strCache>
            </c:strRef>
          </c:tx>
          <c:invertIfNegative val="0"/>
          <c:cat>
            <c:strRef>
              <c:f>'faixa_distancia x periodo'!$A$3:$A$5</c:f>
              <c:strCache>
                <c:ptCount val="2"/>
                <c:pt idx="0">
                  <c:v>manhã</c:v>
                </c:pt>
                <c:pt idx="1">
                  <c:v>tarde</c:v>
                </c:pt>
              </c:strCache>
            </c:strRef>
          </c:cat>
          <c:val>
            <c:numRef>
              <c:f>'faixa_distancia x periodo'!$B$3:$B$5</c:f>
              <c:numCache>
                <c:formatCode>General</c:formatCode>
                <c:ptCount val="2"/>
                <c:pt idx="0">
                  <c:v>79</c:v>
                </c:pt>
                <c:pt idx="1">
                  <c:v>173</c:v>
                </c:pt>
              </c:numCache>
            </c:numRef>
          </c:val>
        </c:ser>
        <c:ser>
          <c:idx val="1"/>
          <c:order val="1"/>
          <c:tx>
            <c:strRef>
              <c:f>'faixa_distancia x periodo'!$C$1:$C$2</c:f>
              <c:strCache>
                <c:ptCount val="1"/>
                <c:pt idx="0">
                  <c:v>Longa</c:v>
                </c:pt>
              </c:strCache>
            </c:strRef>
          </c:tx>
          <c:invertIfNegative val="0"/>
          <c:cat>
            <c:strRef>
              <c:f>'faixa_distancia x periodo'!$A$3:$A$5</c:f>
              <c:strCache>
                <c:ptCount val="2"/>
                <c:pt idx="0">
                  <c:v>manhã</c:v>
                </c:pt>
                <c:pt idx="1">
                  <c:v>tarde</c:v>
                </c:pt>
              </c:strCache>
            </c:strRef>
          </c:cat>
          <c:val>
            <c:numRef>
              <c:f>'faixa_distancia x periodo'!$C$3:$C$5</c:f>
              <c:numCache>
                <c:formatCode>General</c:formatCode>
                <c:ptCount val="2"/>
                <c:pt idx="0">
                  <c:v>30</c:v>
                </c:pt>
                <c:pt idx="1">
                  <c:v>35</c:v>
                </c:pt>
              </c:numCache>
            </c:numRef>
          </c:val>
        </c:ser>
        <c:ser>
          <c:idx val="2"/>
          <c:order val="2"/>
          <c:tx>
            <c:strRef>
              <c:f>'faixa_distancia x periodo'!$D$1:$D$2</c:f>
              <c:strCache>
                <c:ptCount val="1"/>
                <c:pt idx="0">
                  <c:v>Média</c:v>
                </c:pt>
              </c:strCache>
            </c:strRef>
          </c:tx>
          <c:invertIfNegative val="0"/>
          <c:cat>
            <c:strRef>
              <c:f>'faixa_distancia x periodo'!$A$3:$A$5</c:f>
              <c:strCache>
                <c:ptCount val="2"/>
                <c:pt idx="0">
                  <c:v>manhã</c:v>
                </c:pt>
                <c:pt idx="1">
                  <c:v>tarde</c:v>
                </c:pt>
              </c:strCache>
            </c:strRef>
          </c:cat>
          <c:val>
            <c:numRef>
              <c:f>'faixa_distancia x periodo'!$D$3:$D$5</c:f>
              <c:numCache>
                <c:formatCode>General</c:formatCode>
                <c:ptCount val="2"/>
                <c:pt idx="0">
                  <c:v>95</c:v>
                </c:pt>
                <c:pt idx="1">
                  <c:v>176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4984048"/>
        <c:axId val="954985680"/>
      </c:barChart>
      <c:catAx>
        <c:axId val="9549840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54985680"/>
        <c:crosses val="autoZero"/>
        <c:auto val="1"/>
        <c:lblAlgn val="ctr"/>
        <c:lblOffset val="100"/>
        <c:noMultiLvlLbl val="0"/>
      </c:catAx>
      <c:valAx>
        <c:axId val="9549856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549840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[banco_dados_excel - Projeto3_parte2.xlsx]comportamento_op_pulverizado!Tabela dinâmica2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Comportamento Operacional pulverizado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comportamento_op_pulverizado!$B$1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comportamento_op_pulverizado!$A$2:$A$353</c:f>
              <c:strCache>
                <c:ptCount val="351"/>
                <c:pt idx="0">
                  <c:v>07:22:00</c:v>
                </c:pt>
                <c:pt idx="1">
                  <c:v>07:27:00</c:v>
                </c:pt>
                <c:pt idx="2">
                  <c:v>07:29:00</c:v>
                </c:pt>
                <c:pt idx="3">
                  <c:v>07:30:00</c:v>
                </c:pt>
                <c:pt idx="4">
                  <c:v>07:31:00</c:v>
                </c:pt>
                <c:pt idx="5">
                  <c:v>07:32:00</c:v>
                </c:pt>
                <c:pt idx="6">
                  <c:v>07:33:00</c:v>
                </c:pt>
                <c:pt idx="7">
                  <c:v>07:34:00</c:v>
                </c:pt>
                <c:pt idx="8">
                  <c:v>07:35:00</c:v>
                </c:pt>
                <c:pt idx="9">
                  <c:v>07:36:00</c:v>
                </c:pt>
                <c:pt idx="10">
                  <c:v>07:38:00</c:v>
                </c:pt>
                <c:pt idx="11">
                  <c:v>07:39:00</c:v>
                </c:pt>
                <c:pt idx="12">
                  <c:v>07:40:00</c:v>
                </c:pt>
                <c:pt idx="13">
                  <c:v>07:41:00</c:v>
                </c:pt>
                <c:pt idx="14">
                  <c:v>07:42:00</c:v>
                </c:pt>
                <c:pt idx="15">
                  <c:v>07:43:00</c:v>
                </c:pt>
                <c:pt idx="16">
                  <c:v>07:44:00</c:v>
                </c:pt>
                <c:pt idx="17">
                  <c:v>07:46:00</c:v>
                </c:pt>
                <c:pt idx="18">
                  <c:v>07:47:00</c:v>
                </c:pt>
                <c:pt idx="19">
                  <c:v>07:48:00</c:v>
                </c:pt>
                <c:pt idx="20">
                  <c:v>07:49:00</c:v>
                </c:pt>
                <c:pt idx="21">
                  <c:v>07:50:00</c:v>
                </c:pt>
                <c:pt idx="22">
                  <c:v>07:53:00</c:v>
                </c:pt>
                <c:pt idx="23">
                  <c:v>07:54:00</c:v>
                </c:pt>
                <c:pt idx="24">
                  <c:v>07:55:00</c:v>
                </c:pt>
                <c:pt idx="25">
                  <c:v>07:56:00</c:v>
                </c:pt>
                <c:pt idx="26">
                  <c:v>07:57:00</c:v>
                </c:pt>
                <c:pt idx="27">
                  <c:v>07:58:00</c:v>
                </c:pt>
                <c:pt idx="28">
                  <c:v>07:59:00</c:v>
                </c:pt>
                <c:pt idx="29">
                  <c:v>08:00:00</c:v>
                </c:pt>
                <c:pt idx="30">
                  <c:v>08:01:00</c:v>
                </c:pt>
                <c:pt idx="31">
                  <c:v>08:02:00</c:v>
                </c:pt>
                <c:pt idx="32">
                  <c:v>08:03:00</c:v>
                </c:pt>
                <c:pt idx="33">
                  <c:v>08:04:00</c:v>
                </c:pt>
                <c:pt idx="34">
                  <c:v>08:05:00</c:v>
                </c:pt>
                <c:pt idx="35">
                  <c:v>08:06:00</c:v>
                </c:pt>
                <c:pt idx="36">
                  <c:v>08:07:00</c:v>
                </c:pt>
                <c:pt idx="37">
                  <c:v>08:08:00</c:v>
                </c:pt>
                <c:pt idx="38">
                  <c:v>08:09:00</c:v>
                </c:pt>
                <c:pt idx="39">
                  <c:v>08:10:00</c:v>
                </c:pt>
                <c:pt idx="40">
                  <c:v>08:12:00</c:v>
                </c:pt>
                <c:pt idx="41">
                  <c:v>08:13:00</c:v>
                </c:pt>
                <c:pt idx="42">
                  <c:v>08:14:00</c:v>
                </c:pt>
                <c:pt idx="43">
                  <c:v>08:15:00</c:v>
                </c:pt>
                <c:pt idx="44">
                  <c:v>08:16:00</c:v>
                </c:pt>
                <c:pt idx="45">
                  <c:v>08:17:00</c:v>
                </c:pt>
                <c:pt idx="46">
                  <c:v>08:18:00</c:v>
                </c:pt>
                <c:pt idx="47">
                  <c:v>08:20:00</c:v>
                </c:pt>
                <c:pt idx="48">
                  <c:v>08:21:00</c:v>
                </c:pt>
                <c:pt idx="49">
                  <c:v>08:22:00</c:v>
                </c:pt>
                <c:pt idx="50">
                  <c:v>08:23:00</c:v>
                </c:pt>
                <c:pt idx="51">
                  <c:v>08:25:00</c:v>
                </c:pt>
                <c:pt idx="52">
                  <c:v>08:27:00</c:v>
                </c:pt>
                <c:pt idx="53">
                  <c:v>08:28:00</c:v>
                </c:pt>
                <c:pt idx="54">
                  <c:v>08:30:00</c:v>
                </c:pt>
                <c:pt idx="55">
                  <c:v>08:31:00</c:v>
                </c:pt>
                <c:pt idx="56">
                  <c:v>08:33:00</c:v>
                </c:pt>
                <c:pt idx="57">
                  <c:v>08:34:00</c:v>
                </c:pt>
                <c:pt idx="58">
                  <c:v>08:35:00</c:v>
                </c:pt>
                <c:pt idx="59">
                  <c:v>08:36:00</c:v>
                </c:pt>
                <c:pt idx="60">
                  <c:v>08:37:00</c:v>
                </c:pt>
                <c:pt idx="61">
                  <c:v>08:38:00</c:v>
                </c:pt>
                <c:pt idx="62">
                  <c:v>08:41:00</c:v>
                </c:pt>
                <c:pt idx="63">
                  <c:v>08:42:00</c:v>
                </c:pt>
                <c:pt idx="64">
                  <c:v>08:43:00</c:v>
                </c:pt>
                <c:pt idx="65">
                  <c:v>08:44:00</c:v>
                </c:pt>
                <c:pt idx="66">
                  <c:v>08:45:00</c:v>
                </c:pt>
                <c:pt idx="67">
                  <c:v>08:46:00</c:v>
                </c:pt>
                <c:pt idx="68">
                  <c:v>08:47:00</c:v>
                </c:pt>
                <c:pt idx="69">
                  <c:v>08:51:00</c:v>
                </c:pt>
                <c:pt idx="70">
                  <c:v>08:52:00</c:v>
                </c:pt>
                <c:pt idx="71">
                  <c:v>08:53:00</c:v>
                </c:pt>
                <c:pt idx="72">
                  <c:v>08:54:00</c:v>
                </c:pt>
                <c:pt idx="73">
                  <c:v>08:55:00</c:v>
                </c:pt>
                <c:pt idx="74">
                  <c:v>08:57:00</c:v>
                </c:pt>
                <c:pt idx="75">
                  <c:v>08:58:00</c:v>
                </c:pt>
                <c:pt idx="76">
                  <c:v>08:59:00</c:v>
                </c:pt>
                <c:pt idx="77">
                  <c:v>09:00:00</c:v>
                </c:pt>
                <c:pt idx="78">
                  <c:v>09:01:00</c:v>
                </c:pt>
                <c:pt idx="79">
                  <c:v>09:02:00</c:v>
                </c:pt>
                <c:pt idx="80">
                  <c:v>09:05:00</c:v>
                </c:pt>
                <c:pt idx="81">
                  <c:v>09:06:00</c:v>
                </c:pt>
                <c:pt idx="82">
                  <c:v>09:07:00</c:v>
                </c:pt>
                <c:pt idx="83">
                  <c:v>09:08:00</c:v>
                </c:pt>
                <c:pt idx="84">
                  <c:v>09:09:00</c:v>
                </c:pt>
                <c:pt idx="85">
                  <c:v>09:12:00</c:v>
                </c:pt>
                <c:pt idx="86">
                  <c:v>09:13:00</c:v>
                </c:pt>
                <c:pt idx="87">
                  <c:v>09:14:00</c:v>
                </c:pt>
                <c:pt idx="88">
                  <c:v>09:15:00</c:v>
                </c:pt>
                <c:pt idx="89">
                  <c:v>09:16:00</c:v>
                </c:pt>
                <c:pt idx="90">
                  <c:v>09:17:00</c:v>
                </c:pt>
                <c:pt idx="91">
                  <c:v>09:18:00</c:v>
                </c:pt>
                <c:pt idx="92">
                  <c:v>09:19:00</c:v>
                </c:pt>
                <c:pt idx="93">
                  <c:v>09:20:00</c:v>
                </c:pt>
                <c:pt idx="94">
                  <c:v>09:22:00</c:v>
                </c:pt>
                <c:pt idx="95">
                  <c:v>09:24:00</c:v>
                </c:pt>
                <c:pt idx="96">
                  <c:v>09:25:00</c:v>
                </c:pt>
                <c:pt idx="97">
                  <c:v>09:26:00</c:v>
                </c:pt>
                <c:pt idx="98">
                  <c:v>09:27:00</c:v>
                </c:pt>
                <c:pt idx="99">
                  <c:v>09:29:00</c:v>
                </c:pt>
                <c:pt idx="100">
                  <c:v>09:30:00</c:v>
                </c:pt>
                <c:pt idx="101">
                  <c:v>09:32:00</c:v>
                </c:pt>
                <c:pt idx="102">
                  <c:v>09:33:00</c:v>
                </c:pt>
                <c:pt idx="103">
                  <c:v>09:35:00</c:v>
                </c:pt>
                <c:pt idx="104">
                  <c:v>09:36:00</c:v>
                </c:pt>
                <c:pt idx="105">
                  <c:v>09:37:00</c:v>
                </c:pt>
                <c:pt idx="106">
                  <c:v>09:38:00</c:v>
                </c:pt>
                <c:pt idx="107">
                  <c:v>09:39:00</c:v>
                </c:pt>
                <c:pt idx="108">
                  <c:v>09:40:00</c:v>
                </c:pt>
                <c:pt idx="109">
                  <c:v>09:41:00</c:v>
                </c:pt>
                <c:pt idx="110">
                  <c:v>09:42:00</c:v>
                </c:pt>
                <c:pt idx="111">
                  <c:v>09:44:00</c:v>
                </c:pt>
                <c:pt idx="112">
                  <c:v>09:45:00</c:v>
                </c:pt>
                <c:pt idx="113">
                  <c:v>09:46:00</c:v>
                </c:pt>
                <c:pt idx="114">
                  <c:v>09:49:00</c:v>
                </c:pt>
                <c:pt idx="115">
                  <c:v>09:50:00</c:v>
                </c:pt>
                <c:pt idx="116">
                  <c:v>09:51:00</c:v>
                </c:pt>
                <c:pt idx="117">
                  <c:v>09:54:00</c:v>
                </c:pt>
                <c:pt idx="118">
                  <c:v>09:55:00</c:v>
                </c:pt>
                <c:pt idx="119">
                  <c:v>09:56:00</c:v>
                </c:pt>
                <c:pt idx="120">
                  <c:v>09:57:00</c:v>
                </c:pt>
                <c:pt idx="121">
                  <c:v>10:00:00</c:v>
                </c:pt>
                <c:pt idx="122">
                  <c:v>15:02:00</c:v>
                </c:pt>
                <c:pt idx="123">
                  <c:v>15:04:00</c:v>
                </c:pt>
                <c:pt idx="124">
                  <c:v>15:05:00</c:v>
                </c:pt>
                <c:pt idx="125">
                  <c:v>15:06:00</c:v>
                </c:pt>
                <c:pt idx="126">
                  <c:v>15:08:00</c:v>
                </c:pt>
                <c:pt idx="127">
                  <c:v>15:09:00</c:v>
                </c:pt>
                <c:pt idx="128">
                  <c:v>15:10:00</c:v>
                </c:pt>
                <c:pt idx="129">
                  <c:v>15:11:00</c:v>
                </c:pt>
                <c:pt idx="130">
                  <c:v>15:13:00</c:v>
                </c:pt>
                <c:pt idx="131">
                  <c:v>15:14:00</c:v>
                </c:pt>
                <c:pt idx="132">
                  <c:v>15:15:00</c:v>
                </c:pt>
                <c:pt idx="133">
                  <c:v>15:17:00</c:v>
                </c:pt>
                <c:pt idx="134">
                  <c:v>15:18:00</c:v>
                </c:pt>
                <c:pt idx="135">
                  <c:v>15:19:00</c:v>
                </c:pt>
                <c:pt idx="136">
                  <c:v>15:20:00</c:v>
                </c:pt>
                <c:pt idx="137">
                  <c:v>15:21:00</c:v>
                </c:pt>
                <c:pt idx="138">
                  <c:v>15:22:00</c:v>
                </c:pt>
                <c:pt idx="139">
                  <c:v>15:24:00</c:v>
                </c:pt>
                <c:pt idx="140">
                  <c:v>15:25:00</c:v>
                </c:pt>
                <c:pt idx="141">
                  <c:v>15:26:00</c:v>
                </c:pt>
                <c:pt idx="142">
                  <c:v>15:28:00</c:v>
                </c:pt>
                <c:pt idx="143">
                  <c:v>15:30:00</c:v>
                </c:pt>
                <c:pt idx="144">
                  <c:v>15:33:00</c:v>
                </c:pt>
                <c:pt idx="145">
                  <c:v>15:37:00</c:v>
                </c:pt>
                <c:pt idx="146">
                  <c:v>15:38:00</c:v>
                </c:pt>
                <c:pt idx="147">
                  <c:v>15:39:00</c:v>
                </c:pt>
                <c:pt idx="148">
                  <c:v>15:40:00</c:v>
                </c:pt>
                <c:pt idx="149">
                  <c:v>15:42:00</c:v>
                </c:pt>
                <c:pt idx="150">
                  <c:v>15:43:00</c:v>
                </c:pt>
                <c:pt idx="151">
                  <c:v>15:44:00</c:v>
                </c:pt>
                <c:pt idx="152">
                  <c:v>15:46:00</c:v>
                </c:pt>
                <c:pt idx="153">
                  <c:v>15:47:00</c:v>
                </c:pt>
                <c:pt idx="154">
                  <c:v>15:48:00</c:v>
                </c:pt>
                <c:pt idx="155">
                  <c:v>15:49:00</c:v>
                </c:pt>
                <c:pt idx="156">
                  <c:v>15:53:00</c:v>
                </c:pt>
                <c:pt idx="157">
                  <c:v>15:54:00</c:v>
                </c:pt>
                <c:pt idx="158">
                  <c:v>15:55:00</c:v>
                </c:pt>
                <c:pt idx="159">
                  <c:v>15:56:00</c:v>
                </c:pt>
                <c:pt idx="160">
                  <c:v>15:57:00</c:v>
                </c:pt>
                <c:pt idx="161">
                  <c:v>15:58:00</c:v>
                </c:pt>
                <c:pt idx="162">
                  <c:v>15:59:00</c:v>
                </c:pt>
                <c:pt idx="163">
                  <c:v>16:00:00</c:v>
                </c:pt>
                <c:pt idx="164">
                  <c:v>16:02:00</c:v>
                </c:pt>
                <c:pt idx="165">
                  <c:v>16:04:00</c:v>
                </c:pt>
                <c:pt idx="166">
                  <c:v>16:05:00</c:v>
                </c:pt>
                <c:pt idx="167">
                  <c:v>16:06:00</c:v>
                </c:pt>
                <c:pt idx="168">
                  <c:v>16:07:00</c:v>
                </c:pt>
                <c:pt idx="169">
                  <c:v>16:08:00</c:v>
                </c:pt>
                <c:pt idx="170">
                  <c:v>16:09:00</c:v>
                </c:pt>
                <c:pt idx="171">
                  <c:v>16:10:00</c:v>
                </c:pt>
                <c:pt idx="172">
                  <c:v>16:11:00</c:v>
                </c:pt>
                <c:pt idx="173">
                  <c:v>16:12:00</c:v>
                </c:pt>
                <c:pt idx="174">
                  <c:v>16:13:00</c:v>
                </c:pt>
                <c:pt idx="175">
                  <c:v>16:14:00</c:v>
                </c:pt>
                <c:pt idx="176">
                  <c:v>16:15:00</c:v>
                </c:pt>
                <c:pt idx="177">
                  <c:v>16:17:00</c:v>
                </c:pt>
                <c:pt idx="178">
                  <c:v>16:18:00</c:v>
                </c:pt>
                <c:pt idx="179">
                  <c:v>16:21:00</c:v>
                </c:pt>
                <c:pt idx="180">
                  <c:v>16:22:00</c:v>
                </c:pt>
                <c:pt idx="181">
                  <c:v>16:23:00</c:v>
                </c:pt>
                <c:pt idx="182">
                  <c:v>16:25:00</c:v>
                </c:pt>
                <c:pt idx="183">
                  <c:v>16:27:00</c:v>
                </c:pt>
                <c:pt idx="184">
                  <c:v>16:28:00</c:v>
                </c:pt>
                <c:pt idx="185">
                  <c:v>16:29:00</c:v>
                </c:pt>
                <c:pt idx="186">
                  <c:v>16:30:00</c:v>
                </c:pt>
                <c:pt idx="187">
                  <c:v>16:31:00</c:v>
                </c:pt>
                <c:pt idx="188">
                  <c:v>16:32:00</c:v>
                </c:pt>
                <c:pt idx="189">
                  <c:v>16:33:00</c:v>
                </c:pt>
                <c:pt idx="190">
                  <c:v>16:34:00</c:v>
                </c:pt>
                <c:pt idx="191">
                  <c:v>16:35:00</c:v>
                </c:pt>
                <c:pt idx="192">
                  <c:v>16:36:00</c:v>
                </c:pt>
                <c:pt idx="193">
                  <c:v>16:37:00</c:v>
                </c:pt>
                <c:pt idx="194">
                  <c:v>16:38:00</c:v>
                </c:pt>
                <c:pt idx="195">
                  <c:v>16:39:00</c:v>
                </c:pt>
                <c:pt idx="196">
                  <c:v>16:40:00</c:v>
                </c:pt>
                <c:pt idx="197">
                  <c:v>16:41:00</c:v>
                </c:pt>
                <c:pt idx="198">
                  <c:v>16:42:00</c:v>
                </c:pt>
                <c:pt idx="199">
                  <c:v>16:43:00</c:v>
                </c:pt>
                <c:pt idx="200">
                  <c:v>16:44:00</c:v>
                </c:pt>
                <c:pt idx="201">
                  <c:v>16:46:00</c:v>
                </c:pt>
                <c:pt idx="202">
                  <c:v>16:47:00</c:v>
                </c:pt>
                <c:pt idx="203">
                  <c:v>16:48:00</c:v>
                </c:pt>
                <c:pt idx="204">
                  <c:v>16:49:00</c:v>
                </c:pt>
                <c:pt idx="205">
                  <c:v>16:50:00</c:v>
                </c:pt>
                <c:pt idx="206">
                  <c:v>16:51:00</c:v>
                </c:pt>
                <c:pt idx="207">
                  <c:v>16:52:00</c:v>
                </c:pt>
                <c:pt idx="208">
                  <c:v>16:53:00</c:v>
                </c:pt>
                <c:pt idx="209">
                  <c:v>16:54:00</c:v>
                </c:pt>
                <c:pt idx="210">
                  <c:v>16:55:00</c:v>
                </c:pt>
                <c:pt idx="211">
                  <c:v>16:56:00</c:v>
                </c:pt>
                <c:pt idx="212">
                  <c:v>16:59:00</c:v>
                </c:pt>
                <c:pt idx="213">
                  <c:v>17:00:00</c:v>
                </c:pt>
                <c:pt idx="214">
                  <c:v>17:03:00</c:v>
                </c:pt>
                <c:pt idx="215">
                  <c:v>17:04:00</c:v>
                </c:pt>
                <c:pt idx="216">
                  <c:v>17:05:00</c:v>
                </c:pt>
                <c:pt idx="217">
                  <c:v>17:06:00</c:v>
                </c:pt>
                <c:pt idx="218">
                  <c:v>17:07:00</c:v>
                </c:pt>
                <c:pt idx="219">
                  <c:v>17:08:00</c:v>
                </c:pt>
                <c:pt idx="220">
                  <c:v>17:09:00</c:v>
                </c:pt>
                <c:pt idx="221">
                  <c:v>17:11:00</c:v>
                </c:pt>
                <c:pt idx="222">
                  <c:v>17:12:00</c:v>
                </c:pt>
                <c:pt idx="223">
                  <c:v>17:13:00</c:v>
                </c:pt>
                <c:pt idx="224">
                  <c:v>17:14:00</c:v>
                </c:pt>
                <c:pt idx="225">
                  <c:v>17:15:00</c:v>
                </c:pt>
                <c:pt idx="226">
                  <c:v>17:16:00</c:v>
                </c:pt>
                <c:pt idx="227">
                  <c:v>17:20:00</c:v>
                </c:pt>
                <c:pt idx="228">
                  <c:v>17:21:00</c:v>
                </c:pt>
                <c:pt idx="229">
                  <c:v>17:22:00</c:v>
                </c:pt>
                <c:pt idx="230">
                  <c:v>17:23:00</c:v>
                </c:pt>
                <c:pt idx="231">
                  <c:v>17:24:00</c:v>
                </c:pt>
                <c:pt idx="232">
                  <c:v>17:25:00</c:v>
                </c:pt>
                <c:pt idx="233">
                  <c:v>17:28:00</c:v>
                </c:pt>
                <c:pt idx="234">
                  <c:v>17:29:00</c:v>
                </c:pt>
                <c:pt idx="235">
                  <c:v>17:30:00</c:v>
                </c:pt>
                <c:pt idx="236">
                  <c:v>17:33:00</c:v>
                </c:pt>
                <c:pt idx="237">
                  <c:v>17:35:00</c:v>
                </c:pt>
                <c:pt idx="238">
                  <c:v>17:37:00</c:v>
                </c:pt>
                <c:pt idx="239">
                  <c:v>17:38:00</c:v>
                </c:pt>
                <c:pt idx="240">
                  <c:v>17:39:00</c:v>
                </c:pt>
                <c:pt idx="241">
                  <c:v>17:40:00</c:v>
                </c:pt>
                <c:pt idx="242">
                  <c:v>17:41:00</c:v>
                </c:pt>
                <c:pt idx="243">
                  <c:v>17:42:00</c:v>
                </c:pt>
                <c:pt idx="244">
                  <c:v>17:43:00</c:v>
                </c:pt>
                <c:pt idx="245">
                  <c:v>17:44:00</c:v>
                </c:pt>
                <c:pt idx="246">
                  <c:v>17:45:00</c:v>
                </c:pt>
                <c:pt idx="247">
                  <c:v>17:48:00</c:v>
                </c:pt>
                <c:pt idx="248">
                  <c:v>17:49:00</c:v>
                </c:pt>
                <c:pt idx="249">
                  <c:v>17:50:00</c:v>
                </c:pt>
                <c:pt idx="250">
                  <c:v>17:51:00</c:v>
                </c:pt>
                <c:pt idx="251">
                  <c:v>17:52:00</c:v>
                </c:pt>
                <c:pt idx="252">
                  <c:v>17:53:00</c:v>
                </c:pt>
                <c:pt idx="253">
                  <c:v>17:54:00</c:v>
                </c:pt>
                <c:pt idx="254">
                  <c:v>17:55:00</c:v>
                </c:pt>
                <c:pt idx="255">
                  <c:v>17:56:00</c:v>
                </c:pt>
                <c:pt idx="256">
                  <c:v>17:57:00</c:v>
                </c:pt>
                <c:pt idx="257">
                  <c:v>17:58:00</c:v>
                </c:pt>
                <c:pt idx="258">
                  <c:v>17:59:00</c:v>
                </c:pt>
                <c:pt idx="259">
                  <c:v>18:01:00</c:v>
                </c:pt>
                <c:pt idx="260">
                  <c:v>18:02:00</c:v>
                </c:pt>
                <c:pt idx="261">
                  <c:v>18:03:00</c:v>
                </c:pt>
                <c:pt idx="262">
                  <c:v>18:04:00</c:v>
                </c:pt>
                <c:pt idx="263">
                  <c:v>18:05:00</c:v>
                </c:pt>
                <c:pt idx="264">
                  <c:v>18:07:00</c:v>
                </c:pt>
                <c:pt idx="265">
                  <c:v>18:08:00</c:v>
                </c:pt>
                <c:pt idx="266">
                  <c:v>18:09:00</c:v>
                </c:pt>
                <c:pt idx="267">
                  <c:v>18:10:00</c:v>
                </c:pt>
                <c:pt idx="268">
                  <c:v>18:12:00</c:v>
                </c:pt>
                <c:pt idx="269">
                  <c:v>18:13:00</c:v>
                </c:pt>
                <c:pt idx="270">
                  <c:v>18:14:00</c:v>
                </c:pt>
                <c:pt idx="271">
                  <c:v>18:15:00</c:v>
                </c:pt>
                <c:pt idx="272">
                  <c:v>18:16:00</c:v>
                </c:pt>
                <c:pt idx="273">
                  <c:v>18:17:00</c:v>
                </c:pt>
                <c:pt idx="274">
                  <c:v>18:18:00</c:v>
                </c:pt>
                <c:pt idx="275">
                  <c:v>18:22:00</c:v>
                </c:pt>
                <c:pt idx="276">
                  <c:v>18:23:00</c:v>
                </c:pt>
                <c:pt idx="277">
                  <c:v>18:24:00</c:v>
                </c:pt>
                <c:pt idx="278">
                  <c:v>18:25:00</c:v>
                </c:pt>
                <c:pt idx="279">
                  <c:v>18:26:00</c:v>
                </c:pt>
                <c:pt idx="280">
                  <c:v>18:27:00</c:v>
                </c:pt>
                <c:pt idx="281">
                  <c:v>18:28:00</c:v>
                </c:pt>
                <c:pt idx="282">
                  <c:v>18:29:00</c:v>
                </c:pt>
                <c:pt idx="283">
                  <c:v>18:30:00</c:v>
                </c:pt>
                <c:pt idx="284">
                  <c:v>18:31:00</c:v>
                </c:pt>
                <c:pt idx="285">
                  <c:v>18:33:00</c:v>
                </c:pt>
                <c:pt idx="286">
                  <c:v>18:34:00</c:v>
                </c:pt>
                <c:pt idx="287">
                  <c:v>18:35:00</c:v>
                </c:pt>
                <c:pt idx="288">
                  <c:v>18:37:00</c:v>
                </c:pt>
                <c:pt idx="289">
                  <c:v>18:38:00</c:v>
                </c:pt>
                <c:pt idx="290">
                  <c:v>18:39:00</c:v>
                </c:pt>
                <c:pt idx="291">
                  <c:v>18:40:00</c:v>
                </c:pt>
                <c:pt idx="292">
                  <c:v>18:42:00</c:v>
                </c:pt>
                <c:pt idx="293">
                  <c:v>18:43:00</c:v>
                </c:pt>
                <c:pt idx="294">
                  <c:v>18:44:00</c:v>
                </c:pt>
                <c:pt idx="295">
                  <c:v>18:46:00</c:v>
                </c:pt>
                <c:pt idx="296">
                  <c:v>18:48:00</c:v>
                </c:pt>
                <c:pt idx="297">
                  <c:v>18:49:00</c:v>
                </c:pt>
                <c:pt idx="298">
                  <c:v>18:50:00</c:v>
                </c:pt>
                <c:pt idx="299">
                  <c:v>18:52:00</c:v>
                </c:pt>
                <c:pt idx="300">
                  <c:v>18:53:00</c:v>
                </c:pt>
                <c:pt idx="301">
                  <c:v>18:54:00</c:v>
                </c:pt>
                <c:pt idx="302">
                  <c:v>18:55:00</c:v>
                </c:pt>
                <c:pt idx="303">
                  <c:v>18:56:00</c:v>
                </c:pt>
                <c:pt idx="304">
                  <c:v>18:57:00</c:v>
                </c:pt>
                <c:pt idx="305">
                  <c:v>18:58:00</c:v>
                </c:pt>
                <c:pt idx="306">
                  <c:v>18:59:00</c:v>
                </c:pt>
                <c:pt idx="307">
                  <c:v>19:00:00</c:v>
                </c:pt>
                <c:pt idx="308">
                  <c:v>19:01:00</c:v>
                </c:pt>
                <c:pt idx="309">
                  <c:v>19:02:00</c:v>
                </c:pt>
                <c:pt idx="310">
                  <c:v>19:03:00</c:v>
                </c:pt>
                <c:pt idx="311">
                  <c:v>19:05:00</c:v>
                </c:pt>
                <c:pt idx="312">
                  <c:v>19:06:00</c:v>
                </c:pt>
                <c:pt idx="313">
                  <c:v>19:07:00</c:v>
                </c:pt>
                <c:pt idx="314">
                  <c:v>19:08:00</c:v>
                </c:pt>
                <c:pt idx="315">
                  <c:v>19:09:00</c:v>
                </c:pt>
                <c:pt idx="316">
                  <c:v>19:10:00</c:v>
                </c:pt>
                <c:pt idx="317">
                  <c:v>19:11:00</c:v>
                </c:pt>
                <c:pt idx="318">
                  <c:v>19:13:00</c:v>
                </c:pt>
                <c:pt idx="319">
                  <c:v>19:16:00</c:v>
                </c:pt>
                <c:pt idx="320">
                  <c:v>19:18:00</c:v>
                </c:pt>
                <c:pt idx="321">
                  <c:v>19:19:00</c:v>
                </c:pt>
                <c:pt idx="322">
                  <c:v>19:21:00</c:v>
                </c:pt>
                <c:pt idx="323">
                  <c:v>19:23:00</c:v>
                </c:pt>
                <c:pt idx="324">
                  <c:v>19:25:00</c:v>
                </c:pt>
                <c:pt idx="325">
                  <c:v>19:26:00</c:v>
                </c:pt>
                <c:pt idx="326">
                  <c:v>19:27:00</c:v>
                </c:pt>
                <c:pt idx="327">
                  <c:v>19:28:00</c:v>
                </c:pt>
                <c:pt idx="328">
                  <c:v>19:30:00</c:v>
                </c:pt>
                <c:pt idx="329">
                  <c:v>19:32:00</c:v>
                </c:pt>
                <c:pt idx="330">
                  <c:v>19:33:00</c:v>
                </c:pt>
                <c:pt idx="331">
                  <c:v>19:34:00</c:v>
                </c:pt>
                <c:pt idx="332">
                  <c:v>19:36:00</c:v>
                </c:pt>
                <c:pt idx="333">
                  <c:v>19:37:00</c:v>
                </c:pt>
                <c:pt idx="334">
                  <c:v>19:40:00</c:v>
                </c:pt>
                <c:pt idx="335">
                  <c:v>19:41:00</c:v>
                </c:pt>
                <c:pt idx="336">
                  <c:v>19:44:00</c:v>
                </c:pt>
                <c:pt idx="337">
                  <c:v>19:46:00</c:v>
                </c:pt>
                <c:pt idx="338">
                  <c:v>19:47:00</c:v>
                </c:pt>
                <c:pt idx="339">
                  <c:v>19:49:00</c:v>
                </c:pt>
                <c:pt idx="340">
                  <c:v>19:50:00</c:v>
                </c:pt>
                <c:pt idx="341">
                  <c:v>19:53:00</c:v>
                </c:pt>
                <c:pt idx="342">
                  <c:v>19:54:00</c:v>
                </c:pt>
                <c:pt idx="343">
                  <c:v>19:55:00</c:v>
                </c:pt>
                <c:pt idx="344">
                  <c:v>19:56:00</c:v>
                </c:pt>
                <c:pt idx="345">
                  <c:v>19:58:00</c:v>
                </c:pt>
                <c:pt idx="346">
                  <c:v>20:02:00</c:v>
                </c:pt>
                <c:pt idx="347">
                  <c:v>20:05:00</c:v>
                </c:pt>
                <c:pt idx="348">
                  <c:v>20:10:00</c:v>
                </c:pt>
                <c:pt idx="349">
                  <c:v>20:17:00</c:v>
                </c:pt>
                <c:pt idx="350">
                  <c:v>(vazio)</c:v>
                </c:pt>
              </c:strCache>
            </c:strRef>
          </c:cat>
          <c:val>
            <c:numRef>
              <c:f>comportamento_op_pulverizado!$B$2:$B$353</c:f>
              <c:numCache>
                <c:formatCode>General</c:formatCode>
                <c:ptCount val="351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1</c:v>
                </c:pt>
                <c:pt idx="9">
                  <c:v>3</c:v>
                </c:pt>
                <c:pt idx="10">
                  <c:v>3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2</c:v>
                </c:pt>
                <c:pt idx="19">
                  <c:v>1</c:v>
                </c:pt>
                <c:pt idx="20">
                  <c:v>2</c:v>
                </c:pt>
                <c:pt idx="21">
                  <c:v>3</c:v>
                </c:pt>
                <c:pt idx="22">
                  <c:v>3</c:v>
                </c:pt>
                <c:pt idx="23">
                  <c:v>2</c:v>
                </c:pt>
                <c:pt idx="24">
                  <c:v>1</c:v>
                </c:pt>
                <c:pt idx="25">
                  <c:v>1</c:v>
                </c:pt>
                <c:pt idx="26">
                  <c:v>2</c:v>
                </c:pt>
                <c:pt idx="27">
                  <c:v>1</c:v>
                </c:pt>
                <c:pt idx="28">
                  <c:v>1</c:v>
                </c:pt>
                <c:pt idx="29">
                  <c:v>2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1</c:v>
                </c:pt>
                <c:pt idx="37">
                  <c:v>1</c:v>
                </c:pt>
                <c:pt idx="38">
                  <c:v>2</c:v>
                </c:pt>
                <c:pt idx="39">
                  <c:v>1</c:v>
                </c:pt>
                <c:pt idx="40">
                  <c:v>2</c:v>
                </c:pt>
                <c:pt idx="41">
                  <c:v>1</c:v>
                </c:pt>
                <c:pt idx="42">
                  <c:v>1</c:v>
                </c:pt>
                <c:pt idx="43">
                  <c:v>2</c:v>
                </c:pt>
                <c:pt idx="44">
                  <c:v>3</c:v>
                </c:pt>
                <c:pt idx="45">
                  <c:v>1</c:v>
                </c:pt>
                <c:pt idx="46">
                  <c:v>3</c:v>
                </c:pt>
                <c:pt idx="47">
                  <c:v>1</c:v>
                </c:pt>
                <c:pt idx="48">
                  <c:v>3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2</c:v>
                </c:pt>
                <c:pt idx="54">
                  <c:v>1</c:v>
                </c:pt>
                <c:pt idx="55">
                  <c:v>2</c:v>
                </c:pt>
                <c:pt idx="56">
                  <c:v>1</c:v>
                </c:pt>
                <c:pt idx="57">
                  <c:v>3</c:v>
                </c:pt>
                <c:pt idx="58">
                  <c:v>2</c:v>
                </c:pt>
                <c:pt idx="59">
                  <c:v>1</c:v>
                </c:pt>
                <c:pt idx="60">
                  <c:v>2</c:v>
                </c:pt>
                <c:pt idx="61">
                  <c:v>3</c:v>
                </c:pt>
                <c:pt idx="62">
                  <c:v>3</c:v>
                </c:pt>
                <c:pt idx="63">
                  <c:v>2</c:v>
                </c:pt>
                <c:pt idx="64">
                  <c:v>2</c:v>
                </c:pt>
                <c:pt idx="65">
                  <c:v>1</c:v>
                </c:pt>
                <c:pt idx="66">
                  <c:v>1</c:v>
                </c:pt>
                <c:pt idx="67">
                  <c:v>2</c:v>
                </c:pt>
                <c:pt idx="68">
                  <c:v>1</c:v>
                </c:pt>
                <c:pt idx="69">
                  <c:v>3</c:v>
                </c:pt>
                <c:pt idx="70">
                  <c:v>2</c:v>
                </c:pt>
                <c:pt idx="71">
                  <c:v>1</c:v>
                </c:pt>
                <c:pt idx="72">
                  <c:v>2</c:v>
                </c:pt>
                <c:pt idx="73">
                  <c:v>2</c:v>
                </c:pt>
                <c:pt idx="74">
                  <c:v>1</c:v>
                </c:pt>
                <c:pt idx="75">
                  <c:v>1</c:v>
                </c:pt>
                <c:pt idx="76">
                  <c:v>2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2</c:v>
                </c:pt>
                <c:pt idx="82">
                  <c:v>1</c:v>
                </c:pt>
                <c:pt idx="83">
                  <c:v>3</c:v>
                </c:pt>
                <c:pt idx="84">
                  <c:v>2</c:v>
                </c:pt>
                <c:pt idx="85">
                  <c:v>1</c:v>
                </c:pt>
                <c:pt idx="86">
                  <c:v>1</c:v>
                </c:pt>
                <c:pt idx="87">
                  <c:v>2</c:v>
                </c:pt>
                <c:pt idx="88">
                  <c:v>1</c:v>
                </c:pt>
                <c:pt idx="89">
                  <c:v>2</c:v>
                </c:pt>
                <c:pt idx="90">
                  <c:v>3</c:v>
                </c:pt>
                <c:pt idx="91">
                  <c:v>1</c:v>
                </c:pt>
                <c:pt idx="92">
                  <c:v>1</c:v>
                </c:pt>
                <c:pt idx="93">
                  <c:v>2</c:v>
                </c:pt>
                <c:pt idx="94">
                  <c:v>1</c:v>
                </c:pt>
                <c:pt idx="95">
                  <c:v>4</c:v>
                </c:pt>
                <c:pt idx="96">
                  <c:v>2</c:v>
                </c:pt>
                <c:pt idx="97">
                  <c:v>4</c:v>
                </c:pt>
                <c:pt idx="98">
                  <c:v>1</c:v>
                </c:pt>
                <c:pt idx="99">
                  <c:v>2</c:v>
                </c:pt>
                <c:pt idx="100">
                  <c:v>1</c:v>
                </c:pt>
                <c:pt idx="101">
                  <c:v>2</c:v>
                </c:pt>
                <c:pt idx="102">
                  <c:v>2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2</c:v>
                </c:pt>
                <c:pt idx="108">
                  <c:v>1</c:v>
                </c:pt>
                <c:pt idx="109">
                  <c:v>3</c:v>
                </c:pt>
                <c:pt idx="110">
                  <c:v>1</c:v>
                </c:pt>
                <c:pt idx="111">
                  <c:v>2</c:v>
                </c:pt>
                <c:pt idx="112">
                  <c:v>1</c:v>
                </c:pt>
                <c:pt idx="113">
                  <c:v>2</c:v>
                </c:pt>
                <c:pt idx="114">
                  <c:v>1</c:v>
                </c:pt>
                <c:pt idx="115">
                  <c:v>1</c:v>
                </c:pt>
                <c:pt idx="116">
                  <c:v>3</c:v>
                </c:pt>
                <c:pt idx="117">
                  <c:v>1</c:v>
                </c:pt>
                <c:pt idx="118">
                  <c:v>2</c:v>
                </c:pt>
                <c:pt idx="119">
                  <c:v>1</c:v>
                </c:pt>
                <c:pt idx="120">
                  <c:v>2</c:v>
                </c:pt>
                <c:pt idx="121">
                  <c:v>5</c:v>
                </c:pt>
                <c:pt idx="122">
                  <c:v>1</c:v>
                </c:pt>
                <c:pt idx="123">
                  <c:v>1</c:v>
                </c:pt>
                <c:pt idx="124">
                  <c:v>3</c:v>
                </c:pt>
                <c:pt idx="125">
                  <c:v>3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2</c:v>
                </c:pt>
                <c:pt idx="130">
                  <c:v>2</c:v>
                </c:pt>
                <c:pt idx="131">
                  <c:v>1</c:v>
                </c:pt>
                <c:pt idx="132">
                  <c:v>4</c:v>
                </c:pt>
                <c:pt idx="133">
                  <c:v>1</c:v>
                </c:pt>
                <c:pt idx="134">
                  <c:v>2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2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2</c:v>
                </c:pt>
                <c:pt idx="145">
                  <c:v>5</c:v>
                </c:pt>
                <c:pt idx="146">
                  <c:v>2</c:v>
                </c:pt>
                <c:pt idx="147">
                  <c:v>1</c:v>
                </c:pt>
                <c:pt idx="148">
                  <c:v>1</c:v>
                </c:pt>
                <c:pt idx="149">
                  <c:v>4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2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2</c:v>
                </c:pt>
                <c:pt idx="161">
                  <c:v>1</c:v>
                </c:pt>
                <c:pt idx="162">
                  <c:v>1</c:v>
                </c:pt>
                <c:pt idx="163">
                  <c:v>3</c:v>
                </c:pt>
                <c:pt idx="164">
                  <c:v>2</c:v>
                </c:pt>
                <c:pt idx="165">
                  <c:v>2</c:v>
                </c:pt>
                <c:pt idx="166">
                  <c:v>3</c:v>
                </c:pt>
                <c:pt idx="167">
                  <c:v>1</c:v>
                </c:pt>
                <c:pt idx="168">
                  <c:v>3</c:v>
                </c:pt>
                <c:pt idx="169">
                  <c:v>1</c:v>
                </c:pt>
                <c:pt idx="170">
                  <c:v>2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2</c:v>
                </c:pt>
                <c:pt idx="178">
                  <c:v>2</c:v>
                </c:pt>
                <c:pt idx="179">
                  <c:v>4</c:v>
                </c:pt>
                <c:pt idx="180">
                  <c:v>2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3</c:v>
                </c:pt>
                <c:pt idx="187">
                  <c:v>1</c:v>
                </c:pt>
                <c:pt idx="188">
                  <c:v>1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1</c:v>
                </c:pt>
                <c:pt idx="193">
                  <c:v>2</c:v>
                </c:pt>
                <c:pt idx="194">
                  <c:v>2</c:v>
                </c:pt>
                <c:pt idx="195">
                  <c:v>1</c:v>
                </c:pt>
                <c:pt idx="196">
                  <c:v>2</c:v>
                </c:pt>
                <c:pt idx="197">
                  <c:v>1</c:v>
                </c:pt>
                <c:pt idx="198">
                  <c:v>3</c:v>
                </c:pt>
                <c:pt idx="199">
                  <c:v>2</c:v>
                </c:pt>
                <c:pt idx="200">
                  <c:v>1</c:v>
                </c:pt>
                <c:pt idx="201">
                  <c:v>2</c:v>
                </c:pt>
                <c:pt idx="202">
                  <c:v>1</c:v>
                </c:pt>
                <c:pt idx="203">
                  <c:v>6</c:v>
                </c:pt>
                <c:pt idx="204">
                  <c:v>1</c:v>
                </c:pt>
                <c:pt idx="205">
                  <c:v>4</c:v>
                </c:pt>
                <c:pt idx="206">
                  <c:v>1</c:v>
                </c:pt>
                <c:pt idx="207">
                  <c:v>3</c:v>
                </c:pt>
                <c:pt idx="208">
                  <c:v>1</c:v>
                </c:pt>
                <c:pt idx="209">
                  <c:v>1</c:v>
                </c:pt>
                <c:pt idx="210">
                  <c:v>2</c:v>
                </c:pt>
                <c:pt idx="211">
                  <c:v>1</c:v>
                </c:pt>
                <c:pt idx="212">
                  <c:v>1</c:v>
                </c:pt>
                <c:pt idx="213">
                  <c:v>2</c:v>
                </c:pt>
                <c:pt idx="214">
                  <c:v>2</c:v>
                </c:pt>
                <c:pt idx="215">
                  <c:v>2</c:v>
                </c:pt>
                <c:pt idx="216">
                  <c:v>2</c:v>
                </c:pt>
                <c:pt idx="217">
                  <c:v>1</c:v>
                </c:pt>
                <c:pt idx="218">
                  <c:v>3</c:v>
                </c:pt>
                <c:pt idx="219">
                  <c:v>1</c:v>
                </c:pt>
                <c:pt idx="220">
                  <c:v>2</c:v>
                </c:pt>
                <c:pt idx="221">
                  <c:v>1</c:v>
                </c:pt>
                <c:pt idx="222">
                  <c:v>2</c:v>
                </c:pt>
                <c:pt idx="223">
                  <c:v>1</c:v>
                </c:pt>
                <c:pt idx="224">
                  <c:v>2</c:v>
                </c:pt>
                <c:pt idx="225">
                  <c:v>1</c:v>
                </c:pt>
                <c:pt idx="226">
                  <c:v>2</c:v>
                </c:pt>
                <c:pt idx="227">
                  <c:v>3</c:v>
                </c:pt>
                <c:pt idx="228">
                  <c:v>2</c:v>
                </c:pt>
                <c:pt idx="229">
                  <c:v>2</c:v>
                </c:pt>
                <c:pt idx="230">
                  <c:v>4</c:v>
                </c:pt>
                <c:pt idx="231">
                  <c:v>1</c:v>
                </c:pt>
                <c:pt idx="232">
                  <c:v>2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5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4</c:v>
                </c:pt>
                <c:pt idx="241">
                  <c:v>1</c:v>
                </c:pt>
                <c:pt idx="242">
                  <c:v>1</c:v>
                </c:pt>
                <c:pt idx="243">
                  <c:v>2</c:v>
                </c:pt>
                <c:pt idx="244">
                  <c:v>3</c:v>
                </c:pt>
                <c:pt idx="245">
                  <c:v>4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2</c:v>
                </c:pt>
                <c:pt idx="251">
                  <c:v>1</c:v>
                </c:pt>
                <c:pt idx="252">
                  <c:v>1</c:v>
                </c:pt>
                <c:pt idx="253">
                  <c:v>3</c:v>
                </c:pt>
                <c:pt idx="254">
                  <c:v>2</c:v>
                </c:pt>
                <c:pt idx="255">
                  <c:v>2</c:v>
                </c:pt>
                <c:pt idx="256">
                  <c:v>1</c:v>
                </c:pt>
                <c:pt idx="257">
                  <c:v>1</c:v>
                </c:pt>
                <c:pt idx="258">
                  <c:v>2</c:v>
                </c:pt>
                <c:pt idx="259">
                  <c:v>1</c:v>
                </c:pt>
                <c:pt idx="260">
                  <c:v>3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4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2</c:v>
                </c:pt>
                <c:pt idx="269">
                  <c:v>1</c:v>
                </c:pt>
                <c:pt idx="270">
                  <c:v>2</c:v>
                </c:pt>
                <c:pt idx="271">
                  <c:v>1</c:v>
                </c:pt>
                <c:pt idx="272">
                  <c:v>3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3</c:v>
                </c:pt>
                <c:pt idx="279">
                  <c:v>2</c:v>
                </c:pt>
                <c:pt idx="280">
                  <c:v>1</c:v>
                </c:pt>
                <c:pt idx="281">
                  <c:v>3</c:v>
                </c:pt>
                <c:pt idx="282">
                  <c:v>2</c:v>
                </c:pt>
                <c:pt idx="283">
                  <c:v>1</c:v>
                </c:pt>
                <c:pt idx="284">
                  <c:v>1</c:v>
                </c:pt>
                <c:pt idx="285">
                  <c:v>3</c:v>
                </c:pt>
                <c:pt idx="286">
                  <c:v>1</c:v>
                </c:pt>
                <c:pt idx="287">
                  <c:v>2</c:v>
                </c:pt>
                <c:pt idx="288">
                  <c:v>2</c:v>
                </c:pt>
                <c:pt idx="289">
                  <c:v>3</c:v>
                </c:pt>
                <c:pt idx="290">
                  <c:v>1</c:v>
                </c:pt>
                <c:pt idx="291">
                  <c:v>2</c:v>
                </c:pt>
                <c:pt idx="292">
                  <c:v>2</c:v>
                </c:pt>
                <c:pt idx="293">
                  <c:v>1</c:v>
                </c:pt>
                <c:pt idx="294">
                  <c:v>2</c:v>
                </c:pt>
                <c:pt idx="295">
                  <c:v>2</c:v>
                </c:pt>
                <c:pt idx="296">
                  <c:v>2</c:v>
                </c:pt>
                <c:pt idx="297">
                  <c:v>1</c:v>
                </c:pt>
                <c:pt idx="298">
                  <c:v>2</c:v>
                </c:pt>
                <c:pt idx="299">
                  <c:v>2</c:v>
                </c:pt>
                <c:pt idx="300">
                  <c:v>1</c:v>
                </c:pt>
                <c:pt idx="301">
                  <c:v>3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4</c:v>
                </c:pt>
                <c:pt idx="308">
                  <c:v>2</c:v>
                </c:pt>
                <c:pt idx="309">
                  <c:v>1</c:v>
                </c:pt>
                <c:pt idx="310">
                  <c:v>4</c:v>
                </c:pt>
                <c:pt idx="311">
                  <c:v>2</c:v>
                </c:pt>
                <c:pt idx="312">
                  <c:v>1</c:v>
                </c:pt>
                <c:pt idx="313">
                  <c:v>2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2</c:v>
                </c:pt>
                <c:pt idx="319">
                  <c:v>4</c:v>
                </c:pt>
                <c:pt idx="320">
                  <c:v>1</c:v>
                </c:pt>
                <c:pt idx="321">
                  <c:v>2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2</c:v>
                </c:pt>
                <c:pt idx="327">
                  <c:v>4</c:v>
                </c:pt>
                <c:pt idx="328">
                  <c:v>1</c:v>
                </c:pt>
                <c:pt idx="329">
                  <c:v>1</c:v>
                </c:pt>
                <c:pt idx="330">
                  <c:v>2</c:v>
                </c:pt>
                <c:pt idx="331">
                  <c:v>1</c:v>
                </c:pt>
                <c:pt idx="332">
                  <c:v>1</c:v>
                </c:pt>
                <c:pt idx="333">
                  <c:v>2</c:v>
                </c:pt>
                <c:pt idx="334">
                  <c:v>2</c:v>
                </c:pt>
                <c:pt idx="335">
                  <c:v>1</c:v>
                </c:pt>
                <c:pt idx="336">
                  <c:v>1</c:v>
                </c:pt>
                <c:pt idx="337">
                  <c:v>2</c:v>
                </c:pt>
                <c:pt idx="338">
                  <c:v>1</c:v>
                </c:pt>
                <c:pt idx="339">
                  <c:v>2</c:v>
                </c:pt>
                <c:pt idx="340">
                  <c:v>1</c:v>
                </c:pt>
                <c:pt idx="341">
                  <c:v>2</c:v>
                </c:pt>
                <c:pt idx="342">
                  <c:v>3</c:v>
                </c:pt>
                <c:pt idx="343">
                  <c:v>3</c:v>
                </c:pt>
                <c:pt idx="344">
                  <c:v>1</c:v>
                </c:pt>
                <c:pt idx="345">
                  <c:v>2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4973712"/>
        <c:axId val="954974256"/>
      </c:lineChart>
      <c:catAx>
        <c:axId val="9549737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54974256"/>
        <c:crosses val="autoZero"/>
        <c:auto val="1"/>
        <c:lblAlgn val="ctr"/>
        <c:lblOffset val="100"/>
        <c:noMultiLvlLbl val="0"/>
      </c:catAx>
      <c:valAx>
        <c:axId val="95497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549737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[banco_dados_excel - Projeto3_parte2.xlsx]comportamento_agrupamento_horas!Tabela dinâmica3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Agrupamento por hora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comportamento_agrupamento_horas!$B$1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comportamento_agrupamento_horas!$A$2:$A$13</c:f>
              <c:strCache>
                <c:ptCount val="11"/>
                <c:pt idx="0">
                  <c:v>00h</c:v>
                </c:pt>
                <c:pt idx="1">
                  <c:v>07h</c:v>
                </c:pt>
                <c:pt idx="2">
                  <c:v>08h</c:v>
                </c:pt>
                <c:pt idx="3">
                  <c:v>09h</c:v>
                </c:pt>
                <c:pt idx="4">
                  <c:v>10h</c:v>
                </c:pt>
                <c:pt idx="5">
                  <c:v>15h</c:v>
                </c:pt>
                <c:pt idx="6">
                  <c:v>16h</c:v>
                </c:pt>
                <c:pt idx="7">
                  <c:v>17h</c:v>
                </c:pt>
                <c:pt idx="8">
                  <c:v>18h</c:v>
                </c:pt>
                <c:pt idx="9">
                  <c:v>19h</c:v>
                </c:pt>
                <c:pt idx="10">
                  <c:v>20h</c:v>
                </c:pt>
              </c:strCache>
            </c:strRef>
          </c:cat>
          <c:val>
            <c:numRef>
              <c:f>comportamento_agrupamento_horas!$B$2:$B$13</c:f>
              <c:numCache>
                <c:formatCode>General</c:formatCode>
                <c:ptCount val="11"/>
                <c:pt idx="1">
                  <c:v>47</c:v>
                </c:pt>
                <c:pt idx="2">
                  <c:v>80</c:v>
                </c:pt>
                <c:pt idx="3">
                  <c:v>72</c:v>
                </c:pt>
                <c:pt idx="4">
                  <c:v>5</c:v>
                </c:pt>
                <c:pt idx="5">
                  <c:v>63</c:v>
                </c:pt>
                <c:pt idx="6">
                  <c:v>88</c:v>
                </c:pt>
                <c:pt idx="7">
                  <c:v>83</c:v>
                </c:pt>
                <c:pt idx="8">
                  <c:v>78</c:v>
                </c:pt>
                <c:pt idx="9">
                  <c:v>68</c:v>
                </c:pt>
                <c:pt idx="10">
                  <c:v>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4975344"/>
        <c:axId val="954979152"/>
      </c:lineChart>
      <c:catAx>
        <c:axId val="9549753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54979152"/>
        <c:crosses val="autoZero"/>
        <c:auto val="1"/>
        <c:lblAlgn val="ctr"/>
        <c:lblOffset val="100"/>
        <c:noMultiLvlLbl val="0"/>
      </c:catAx>
      <c:valAx>
        <c:axId val="9549791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549753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[banco_dados_excel - Projeto3_parte2.xlsx]ticket_medio_faixa_horaria!Tabela dinâmica4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ticket médio por faixa horária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ticket_medio_faixa_horaria!$B$1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ticket_medio_faixa_horaria!$A$2:$A$13</c:f>
              <c:strCache>
                <c:ptCount val="11"/>
                <c:pt idx="0">
                  <c:v>00h</c:v>
                </c:pt>
                <c:pt idx="1">
                  <c:v>07h</c:v>
                </c:pt>
                <c:pt idx="2">
                  <c:v>08h</c:v>
                </c:pt>
                <c:pt idx="3">
                  <c:v>09h</c:v>
                </c:pt>
                <c:pt idx="4">
                  <c:v>10h</c:v>
                </c:pt>
                <c:pt idx="5">
                  <c:v>15h</c:v>
                </c:pt>
                <c:pt idx="6">
                  <c:v>16h</c:v>
                </c:pt>
                <c:pt idx="7">
                  <c:v>17h</c:v>
                </c:pt>
                <c:pt idx="8">
                  <c:v>18h</c:v>
                </c:pt>
                <c:pt idx="9">
                  <c:v>19h</c:v>
                </c:pt>
                <c:pt idx="10">
                  <c:v>20h</c:v>
                </c:pt>
              </c:strCache>
            </c:strRef>
          </c:cat>
          <c:val>
            <c:numRef>
              <c:f>ticket_medio_faixa_horaria!$B$2:$B$13</c:f>
              <c:numCache>
                <c:formatCode>General</c:formatCode>
                <c:ptCount val="11"/>
                <c:pt idx="1">
                  <c:v>13.559148936170217</c:v>
                </c:pt>
                <c:pt idx="2">
                  <c:v>7.8673750000000044</c:v>
                </c:pt>
                <c:pt idx="3">
                  <c:v>7.3434722222222222</c:v>
                </c:pt>
                <c:pt idx="4">
                  <c:v>6.9600000000000009</c:v>
                </c:pt>
                <c:pt idx="5">
                  <c:v>6.8934920634920633</c:v>
                </c:pt>
                <c:pt idx="6">
                  <c:v>7.6057954545454542</c:v>
                </c:pt>
                <c:pt idx="7">
                  <c:v>9.6026506024096392</c:v>
                </c:pt>
                <c:pt idx="8">
                  <c:v>8.3202564102564125</c:v>
                </c:pt>
                <c:pt idx="9">
                  <c:v>7.6308823529411782</c:v>
                </c:pt>
                <c:pt idx="10">
                  <c:v>6.6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4976976"/>
        <c:axId val="954978064"/>
      </c:lineChart>
      <c:catAx>
        <c:axId val="9549769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54978064"/>
        <c:crosses val="autoZero"/>
        <c:auto val="1"/>
        <c:lblAlgn val="ctr"/>
        <c:lblOffset val="100"/>
        <c:noMultiLvlLbl val="0"/>
      </c:catAx>
      <c:valAx>
        <c:axId val="9549780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549769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[banco_dados_excel - Projeto3_parte2.xlsx]ticket_medio x distancia x peri!Tabela dinâmica5</c:name>
    <c:fmtId val="1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'ticket_medio x distancia x peri'!$B$3:$B$4</c:f>
              <c:strCache>
                <c:ptCount val="1"/>
                <c:pt idx="0">
                  <c:v>Curta</c:v>
                </c:pt>
              </c:strCache>
            </c:strRef>
          </c:tx>
          <c:marker>
            <c:symbol val="none"/>
          </c:marker>
          <c:cat>
            <c:strRef>
              <c:f>'ticket_medio x distancia x peri'!$A$5:$A$7</c:f>
              <c:strCache>
                <c:ptCount val="2"/>
                <c:pt idx="0">
                  <c:v>manhã</c:v>
                </c:pt>
                <c:pt idx="1">
                  <c:v>tarde</c:v>
                </c:pt>
              </c:strCache>
            </c:strRef>
          </c:cat>
          <c:val>
            <c:numRef>
              <c:f>'ticket_medio x distancia x peri'!$B$5:$B$7</c:f>
              <c:numCache>
                <c:formatCode>General</c:formatCode>
                <c:ptCount val="2"/>
                <c:pt idx="0">
                  <c:v>7.2258227848101271</c:v>
                </c:pt>
                <c:pt idx="1">
                  <c:v>6.97658959537572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'ticket_medio x distancia x peri'!$C$3:$C$4</c:f>
              <c:strCache>
                <c:ptCount val="1"/>
                <c:pt idx="0">
                  <c:v>Média</c:v>
                </c:pt>
              </c:strCache>
            </c:strRef>
          </c:tx>
          <c:marker>
            <c:symbol val="none"/>
          </c:marker>
          <c:cat>
            <c:strRef>
              <c:f>'ticket_medio x distancia x peri'!$A$5:$A$7</c:f>
              <c:strCache>
                <c:ptCount val="2"/>
                <c:pt idx="0">
                  <c:v>manhã</c:v>
                </c:pt>
                <c:pt idx="1">
                  <c:v>tarde</c:v>
                </c:pt>
              </c:strCache>
            </c:strRef>
          </c:cat>
          <c:val>
            <c:numRef>
              <c:f>'ticket_medio x distancia x peri'!$C$5:$C$7</c:f>
              <c:numCache>
                <c:formatCode>General</c:formatCode>
                <c:ptCount val="2"/>
                <c:pt idx="0">
                  <c:v>7.9483157894736873</c:v>
                </c:pt>
                <c:pt idx="1">
                  <c:v>7.8881249999999996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'ticket_medio x distancia x peri'!$D$3:$D$4</c:f>
              <c:strCache>
                <c:ptCount val="1"/>
                <c:pt idx="0">
                  <c:v>Longa</c:v>
                </c:pt>
              </c:strCache>
            </c:strRef>
          </c:tx>
          <c:marker>
            <c:symbol val="none"/>
          </c:marker>
          <c:cat>
            <c:strRef>
              <c:f>'ticket_medio x distancia x peri'!$A$5:$A$7</c:f>
              <c:strCache>
                <c:ptCount val="2"/>
                <c:pt idx="0">
                  <c:v>manhã</c:v>
                </c:pt>
                <c:pt idx="1">
                  <c:v>tarde</c:v>
                </c:pt>
              </c:strCache>
            </c:strRef>
          </c:cat>
          <c:val>
            <c:numRef>
              <c:f>'ticket_medio x distancia x peri'!$D$5:$D$7</c:f>
              <c:numCache>
                <c:formatCode>General</c:formatCode>
                <c:ptCount val="2"/>
                <c:pt idx="0">
                  <c:v>16.809000000000001</c:v>
                </c:pt>
                <c:pt idx="1">
                  <c:v>14.275428571428572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4980784"/>
        <c:axId val="954983504"/>
      </c:lineChart>
      <c:catAx>
        <c:axId val="9549807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54983504"/>
        <c:crosses val="autoZero"/>
        <c:auto val="1"/>
        <c:lblAlgn val="ctr"/>
        <c:lblOffset val="100"/>
        <c:noMultiLvlLbl val="0"/>
      </c:catAx>
      <c:valAx>
        <c:axId val="9549835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549807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[banco_dados_excel - Projeto3_parte2.xlsx]faturamento_faixa_horaria!Tabela dinâmica6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faturamento por faixa horária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faturamento_faixa_horaria!$B$1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faturamento_faixa_horaria!$A$2:$A$14</c:f>
              <c:strCache>
                <c:ptCount val="12"/>
                <c:pt idx="0">
                  <c:v>00h</c:v>
                </c:pt>
                <c:pt idx="1">
                  <c:v>07h</c:v>
                </c:pt>
                <c:pt idx="2">
                  <c:v>08h</c:v>
                </c:pt>
                <c:pt idx="3">
                  <c:v>09h</c:v>
                </c:pt>
                <c:pt idx="4">
                  <c:v>10h</c:v>
                </c:pt>
                <c:pt idx="5">
                  <c:v>15h</c:v>
                </c:pt>
                <c:pt idx="6">
                  <c:v>16h</c:v>
                </c:pt>
                <c:pt idx="7">
                  <c:v>17h</c:v>
                </c:pt>
                <c:pt idx="8">
                  <c:v>18h</c:v>
                </c:pt>
                <c:pt idx="9">
                  <c:v>19h</c:v>
                </c:pt>
                <c:pt idx="10">
                  <c:v>20h</c:v>
                </c:pt>
                <c:pt idx="11">
                  <c:v>(vazio)</c:v>
                </c:pt>
              </c:strCache>
            </c:strRef>
          </c:cat>
          <c:val>
            <c:numRef>
              <c:f>faturamento_faixa_horaria!$B$2:$B$14</c:f>
              <c:numCache>
                <c:formatCode>General</c:formatCode>
                <c:ptCount val="12"/>
                <c:pt idx="1">
                  <c:v>637.2800000000002</c:v>
                </c:pt>
                <c:pt idx="2">
                  <c:v>629.39000000000033</c:v>
                </c:pt>
                <c:pt idx="3">
                  <c:v>528.73</c:v>
                </c:pt>
                <c:pt idx="4">
                  <c:v>34.800000000000004</c:v>
                </c:pt>
                <c:pt idx="5">
                  <c:v>434.28999999999996</c:v>
                </c:pt>
                <c:pt idx="6">
                  <c:v>669.31</c:v>
                </c:pt>
                <c:pt idx="7">
                  <c:v>797.02</c:v>
                </c:pt>
                <c:pt idx="8">
                  <c:v>648.98000000000013</c:v>
                </c:pt>
                <c:pt idx="9">
                  <c:v>518.90000000000009</c:v>
                </c:pt>
                <c:pt idx="10">
                  <c:v>26.4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4982960"/>
        <c:axId val="954984592"/>
      </c:barChart>
      <c:catAx>
        <c:axId val="9549829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54984592"/>
        <c:crosses val="autoZero"/>
        <c:auto val="1"/>
        <c:lblAlgn val="ctr"/>
        <c:lblOffset val="100"/>
        <c:noMultiLvlLbl val="0"/>
      </c:catAx>
      <c:valAx>
        <c:axId val="9549845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549829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[banco_dados_excel - Projeto3_parte2.xlsx]regional x periodo!Tabela dinâmica1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'regional x periodo'!$B$1:$B$2</c:f>
              <c:strCache>
                <c:ptCount val="1"/>
                <c:pt idx="0">
                  <c:v>tarde</c:v>
                </c:pt>
              </c:strCache>
            </c:strRef>
          </c:tx>
          <c:invertIfNegative val="0"/>
          <c:cat>
            <c:strRef>
              <c:f>'regional x periodo'!$A$3:$A$12</c:f>
              <c:strCache>
                <c:ptCount val="9"/>
                <c:pt idx="0">
                  <c:v>Portão</c:v>
                </c:pt>
                <c:pt idx="1">
                  <c:v>Boqueirão</c:v>
                </c:pt>
                <c:pt idx="2">
                  <c:v>Matriz</c:v>
                </c:pt>
                <c:pt idx="3">
                  <c:v>Pinheirinho</c:v>
                </c:pt>
                <c:pt idx="4">
                  <c:v>Bairro Novo</c:v>
                </c:pt>
                <c:pt idx="5">
                  <c:v>Cajuru</c:v>
                </c:pt>
                <c:pt idx="6">
                  <c:v>CIC</c:v>
                </c:pt>
                <c:pt idx="7">
                  <c:v>Santa Felicidade</c:v>
                </c:pt>
                <c:pt idx="8">
                  <c:v>Boa Vista</c:v>
                </c:pt>
              </c:strCache>
            </c:strRef>
          </c:cat>
          <c:val>
            <c:numRef>
              <c:f>'regional x periodo'!$B$3:$B$12</c:f>
              <c:numCache>
                <c:formatCode>General</c:formatCode>
                <c:ptCount val="9"/>
                <c:pt idx="0">
                  <c:v>1440.3999999999992</c:v>
                </c:pt>
                <c:pt idx="1">
                  <c:v>893.81000000000017</c:v>
                </c:pt>
                <c:pt idx="2">
                  <c:v>350.26</c:v>
                </c:pt>
                <c:pt idx="3">
                  <c:v>101.7</c:v>
                </c:pt>
                <c:pt idx="4">
                  <c:v>167.23999999999998</c:v>
                </c:pt>
                <c:pt idx="5">
                  <c:v>98.4</c:v>
                </c:pt>
                <c:pt idx="6">
                  <c:v>20.89</c:v>
                </c:pt>
                <c:pt idx="7">
                  <c:v>15.7</c:v>
                </c:pt>
                <c:pt idx="8">
                  <c:v>6.5</c:v>
                </c:pt>
              </c:numCache>
            </c:numRef>
          </c:val>
        </c:ser>
        <c:ser>
          <c:idx val="1"/>
          <c:order val="1"/>
          <c:tx>
            <c:strRef>
              <c:f>'regional x periodo'!$C$1:$C$2</c:f>
              <c:strCache>
                <c:ptCount val="1"/>
                <c:pt idx="0">
                  <c:v>manhã</c:v>
                </c:pt>
              </c:strCache>
            </c:strRef>
          </c:tx>
          <c:invertIfNegative val="0"/>
          <c:cat>
            <c:strRef>
              <c:f>'regional x periodo'!$A$3:$A$12</c:f>
              <c:strCache>
                <c:ptCount val="9"/>
                <c:pt idx="0">
                  <c:v>Portão</c:v>
                </c:pt>
                <c:pt idx="1">
                  <c:v>Boqueirão</c:v>
                </c:pt>
                <c:pt idx="2">
                  <c:v>Matriz</c:v>
                </c:pt>
                <c:pt idx="3">
                  <c:v>Pinheirinho</c:v>
                </c:pt>
                <c:pt idx="4">
                  <c:v>Bairro Novo</c:v>
                </c:pt>
                <c:pt idx="5">
                  <c:v>Cajuru</c:v>
                </c:pt>
                <c:pt idx="6">
                  <c:v>CIC</c:v>
                </c:pt>
                <c:pt idx="7">
                  <c:v>Santa Felicidade</c:v>
                </c:pt>
                <c:pt idx="8">
                  <c:v>Boa Vista</c:v>
                </c:pt>
              </c:strCache>
            </c:strRef>
          </c:cat>
          <c:val>
            <c:numRef>
              <c:f>'regional x periodo'!$C$3:$C$12</c:f>
              <c:numCache>
                <c:formatCode>General</c:formatCode>
                <c:ptCount val="9"/>
                <c:pt idx="0">
                  <c:v>1124.6200000000006</c:v>
                </c:pt>
                <c:pt idx="1">
                  <c:v>225.00000000000003</c:v>
                </c:pt>
                <c:pt idx="2">
                  <c:v>258.59000000000003</c:v>
                </c:pt>
                <c:pt idx="3">
                  <c:v>119.49000000000001</c:v>
                </c:pt>
                <c:pt idx="4">
                  <c:v>6.6</c:v>
                </c:pt>
                <c:pt idx="5">
                  <c:v>70.699999999999989</c:v>
                </c:pt>
                <c:pt idx="6">
                  <c:v>6.5</c:v>
                </c:pt>
                <c:pt idx="7">
                  <c:v>6.5</c:v>
                </c:pt>
                <c:pt idx="8">
                  <c:v>12.2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6820816"/>
        <c:axId val="956824080"/>
      </c:barChart>
      <c:catAx>
        <c:axId val="9568208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56824080"/>
        <c:crosses val="autoZero"/>
        <c:auto val="1"/>
        <c:lblAlgn val="ctr"/>
        <c:lblOffset val="100"/>
        <c:noMultiLvlLbl val="0"/>
      </c:catAx>
      <c:valAx>
        <c:axId val="9568240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568208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[banco_dados_excel - Projeto3_parte2.xlsx]ticket_medio_faixa_horaria (2)!Tabela dinâmica4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ticket médio por faixa horária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'ticket_medio_faixa_horaria (2)'!$B$1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'ticket_medio_faixa_horaria (2)'!$A$2:$A$12</c:f>
              <c:strCache>
                <c:ptCount val="10"/>
                <c:pt idx="0">
                  <c:v>07h</c:v>
                </c:pt>
                <c:pt idx="1">
                  <c:v>17h</c:v>
                </c:pt>
                <c:pt idx="2">
                  <c:v>18h</c:v>
                </c:pt>
                <c:pt idx="3">
                  <c:v>08h</c:v>
                </c:pt>
                <c:pt idx="4">
                  <c:v>19h</c:v>
                </c:pt>
                <c:pt idx="5">
                  <c:v>16h</c:v>
                </c:pt>
                <c:pt idx="6">
                  <c:v>09h</c:v>
                </c:pt>
                <c:pt idx="7">
                  <c:v>10h</c:v>
                </c:pt>
                <c:pt idx="8">
                  <c:v>15h</c:v>
                </c:pt>
                <c:pt idx="9">
                  <c:v>20h</c:v>
                </c:pt>
              </c:strCache>
            </c:strRef>
          </c:cat>
          <c:val>
            <c:numRef>
              <c:f>'ticket_medio_faixa_horaria (2)'!$B$2:$B$12</c:f>
              <c:numCache>
                <c:formatCode>General</c:formatCode>
                <c:ptCount val="10"/>
                <c:pt idx="0">
                  <c:v>13.559148936170217</c:v>
                </c:pt>
                <c:pt idx="1">
                  <c:v>9.6026506024096392</c:v>
                </c:pt>
                <c:pt idx="2">
                  <c:v>8.3202564102564125</c:v>
                </c:pt>
                <c:pt idx="3">
                  <c:v>7.8673750000000044</c:v>
                </c:pt>
                <c:pt idx="4">
                  <c:v>7.6308823529411782</c:v>
                </c:pt>
                <c:pt idx="5">
                  <c:v>7.6057954545454542</c:v>
                </c:pt>
                <c:pt idx="6">
                  <c:v>7.3434722222222222</c:v>
                </c:pt>
                <c:pt idx="7">
                  <c:v>6.9600000000000009</c:v>
                </c:pt>
                <c:pt idx="8">
                  <c:v>6.8934920634920633</c:v>
                </c:pt>
                <c:pt idx="9">
                  <c:v>6.6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6818096"/>
        <c:axId val="956810480"/>
      </c:lineChart>
      <c:catAx>
        <c:axId val="9568180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56810480"/>
        <c:crosses val="autoZero"/>
        <c:auto val="1"/>
        <c:lblAlgn val="ctr"/>
        <c:lblOffset val="100"/>
        <c:noMultiLvlLbl val="0"/>
      </c:catAx>
      <c:valAx>
        <c:axId val="9568104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568180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[banco_dados_excel - Projeto3_parte2.xlsx]comportamento_agrupamento_h (2!Tabela dinâmica3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Agrupamento por hora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'comportamento_agrupamento_h (2'!$B$1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'comportamento_agrupamento_h (2'!$A$2:$A$13</c:f>
              <c:strCache>
                <c:ptCount val="11"/>
                <c:pt idx="0">
                  <c:v>16h</c:v>
                </c:pt>
                <c:pt idx="1">
                  <c:v>17h</c:v>
                </c:pt>
                <c:pt idx="2">
                  <c:v>08h</c:v>
                </c:pt>
                <c:pt idx="3">
                  <c:v>18h</c:v>
                </c:pt>
                <c:pt idx="4">
                  <c:v>09h</c:v>
                </c:pt>
                <c:pt idx="5">
                  <c:v>19h</c:v>
                </c:pt>
                <c:pt idx="6">
                  <c:v>15h</c:v>
                </c:pt>
                <c:pt idx="7">
                  <c:v>07h</c:v>
                </c:pt>
                <c:pt idx="8">
                  <c:v>10h</c:v>
                </c:pt>
                <c:pt idx="9">
                  <c:v>20h</c:v>
                </c:pt>
                <c:pt idx="10">
                  <c:v>00h</c:v>
                </c:pt>
              </c:strCache>
            </c:strRef>
          </c:cat>
          <c:val>
            <c:numRef>
              <c:f>'comportamento_agrupamento_h (2'!$B$2:$B$13</c:f>
              <c:numCache>
                <c:formatCode>General</c:formatCode>
                <c:ptCount val="11"/>
                <c:pt idx="0">
                  <c:v>88</c:v>
                </c:pt>
                <c:pt idx="1">
                  <c:v>83</c:v>
                </c:pt>
                <c:pt idx="2">
                  <c:v>80</c:v>
                </c:pt>
                <c:pt idx="3">
                  <c:v>78</c:v>
                </c:pt>
                <c:pt idx="4">
                  <c:v>72</c:v>
                </c:pt>
                <c:pt idx="5">
                  <c:v>68</c:v>
                </c:pt>
                <c:pt idx="6">
                  <c:v>63</c:v>
                </c:pt>
                <c:pt idx="7">
                  <c:v>47</c:v>
                </c:pt>
                <c:pt idx="8">
                  <c:v>5</c:v>
                </c:pt>
                <c:pt idx="9">
                  <c:v>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6814288"/>
        <c:axId val="956809392"/>
      </c:lineChart>
      <c:catAx>
        <c:axId val="9568142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56809392"/>
        <c:crosses val="autoZero"/>
        <c:auto val="1"/>
        <c:lblAlgn val="ctr"/>
        <c:lblOffset val="100"/>
        <c:noMultiLvlLbl val="0"/>
      </c:catAx>
      <c:valAx>
        <c:axId val="9568093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56814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[banco_dados_excel - Projeto3_parte2.xlsx]faturamento_faixa_horaria (2)!Tabela dinâmica6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faturamento por faixa horária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'faturamento_faixa_horaria (2)'!$B$1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'faturamento_faixa_horaria (2)'!$A$2:$A$12</c:f>
              <c:strCache>
                <c:ptCount val="10"/>
                <c:pt idx="0">
                  <c:v>07h</c:v>
                </c:pt>
                <c:pt idx="1">
                  <c:v>08h</c:v>
                </c:pt>
                <c:pt idx="2">
                  <c:v>09h</c:v>
                </c:pt>
                <c:pt idx="3">
                  <c:v>10h</c:v>
                </c:pt>
                <c:pt idx="4">
                  <c:v>15h</c:v>
                </c:pt>
                <c:pt idx="5">
                  <c:v>16h</c:v>
                </c:pt>
                <c:pt idx="6">
                  <c:v>17h</c:v>
                </c:pt>
                <c:pt idx="7">
                  <c:v>18h</c:v>
                </c:pt>
                <c:pt idx="8">
                  <c:v>19h</c:v>
                </c:pt>
                <c:pt idx="9">
                  <c:v>20h</c:v>
                </c:pt>
              </c:strCache>
            </c:strRef>
          </c:cat>
          <c:val>
            <c:numRef>
              <c:f>'faturamento_faixa_horaria (2)'!$B$2:$B$12</c:f>
              <c:numCache>
                <c:formatCode>General</c:formatCode>
                <c:ptCount val="10"/>
                <c:pt idx="0">
                  <c:v>637.2800000000002</c:v>
                </c:pt>
                <c:pt idx="1">
                  <c:v>629.39000000000033</c:v>
                </c:pt>
                <c:pt idx="2">
                  <c:v>528.73</c:v>
                </c:pt>
                <c:pt idx="3">
                  <c:v>34.800000000000004</c:v>
                </c:pt>
                <c:pt idx="4">
                  <c:v>434.28999999999996</c:v>
                </c:pt>
                <c:pt idx="5">
                  <c:v>669.31</c:v>
                </c:pt>
                <c:pt idx="6">
                  <c:v>797.02</c:v>
                </c:pt>
                <c:pt idx="7">
                  <c:v>648.98000000000013</c:v>
                </c:pt>
                <c:pt idx="8">
                  <c:v>518.90000000000009</c:v>
                </c:pt>
                <c:pt idx="9">
                  <c:v>26.4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6814832"/>
        <c:axId val="956818640"/>
      </c:barChart>
      <c:catAx>
        <c:axId val="9568148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56818640"/>
        <c:crosses val="autoZero"/>
        <c:auto val="1"/>
        <c:lblAlgn val="ctr"/>
        <c:lblOffset val="100"/>
        <c:noMultiLvlLbl val="0"/>
      </c:catAx>
      <c:valAx>
        <c:axId val="9568186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568148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[banco_dados_excel - Projeto3_parte2.xlsx]regional x faixa_distancia!Tabela dinâmica2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'regional x faixa_distancia'!$B$1:$B$2</c:f>
              <c:strCache>
                <c:ptCount val="1"/>
                <c:pt idx="0">
                  <c:v>Curta</c:v>
                </c:pt>
              </c:strCache>
            </c:strRef>
          </c:tx>
          <c:invertIfNegative val="0"/>
          <c:cat>
            <c:strRef>
              <c:f>'regional x faixa_distancia'!$A$3:$A$12</c:f>
              <c:strCache>
                <c:ptCount val="9"/>
                <c:pt idx="0">
                  <c:v>Portão</c:v>
                </c:pt>
                <c:pt idx="1">
                  <c:v>Boqueirão</c:v>
                </c:pt>
                <c:pt idx="2">
                  <c:v>Matriz</c:v>
                </c:pt>
                <c:pt idx="3">
                  <c:v>Bairro Novo</c:v>
                </c:pt>
                <c:pt idx="4">
                  <c:v>Cajuru</c:v>
                </c:pt>
                <c:pt idx="5">
                  <c:v>Pinheirinho</c:v>
                </c:pt>
                <c:pt idx="6">
                  <c:v>Boa Vista</c:v>
                </c:pt>
                <c:pt idx="7">
                  <c:v>Santa Felicidade</c:v>
                </c:pt>
                <c:pt idx="8">
                  <c:v>CIC</c:v>
                </c:pt>
              </c:strCache>
            </c:strRef>
          </c:cat>
          <c:val>
            <c:numRef>
              <c:f>'regional x faixa_distancia'!$B$3:$B$12</c:f>
              <c:numCache>
                <c:formatCode>General</c:formatCode>
                <c:ptCount val="9"/>
                <c:pt idx="0">
                  <c:v>136</c:v>
                </c:pt>
                <c:pt idx="1">
                  <c:v>57</c:v>
                </c:pt>
                <c:pt idx="2">
                  <c:v>35</c:v>
                </c:pt>
                <c:pt idx="3">
                  <c:v>13</c:v>
                </c:pt>
                <c:pt idx="4">
                  <c:v>5</c:v>
                </c:pt>
                <c:pt idx="5">
                  <c:v>4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</c:ser>
        <c:ser>
          <c:idx val="1"/>
          <c:order val="1"/>
          <c:tx>
            <c:strRef>
              <c:f>'regional x faixa_distancia'!$C$1:$C$2</c:f>
              <c:strCache>
                <c:ptCount val="1"/>
                <c:pt idx="0">
                  <c:v>Longa</c:v>
                </c:pt>
              </c:strCache>
            </c:strRef>
          </c:tx>
          <c:invertIfNegative val="0"/>
          <c:cat>
            <c:strRef>
              <c:f>'regional x faixa_distancia'!$A$3:$A$12</c:f>
              <c:strCache>
                <c:ptCount val="9"/>
                <c:pt idx="0">
                  <c:v>Portão</c:v>
                </c:pt>
                <c:pt idx="1">
                  <c:v>Boqueirão</c:v>
                </c:pt>
                <c:pt idx="2">
                  <c:v>Matriz</c:v>
                </c:pt>
                <c:pt idx="3">
                  <c:v>Bairro Novo</c:v>
                </c:pt>
                <c:pt idx="4">
                  <c:v>Cajuru</c:v>
                </c:pt>
                <c:pt idx="5">
                  <c:v>Pinheirinho</c:v>
                </c:pt>
                <c:pt idx="6">
                  <c:v>Boa Vista</c:v>
                </c:pt>
                <c:pt idx="7">
                  <c:v>Santa Felicidade</c:v>
                </c:pt>
                <c:pt idx="8">
                  <c:v>CIC</c:v>
                </c:pt>
              </c:strCache>
            </c:strRef>
          </c:cat>
          <c:val>
            <c:numRef>
              <c:f>'regional x faixa_distancia'!$C$3:$C$12</c:f>
              <c:numCache>
                <c:formatCode>General</c:formatCode>
                <c:ptCount val="9"/>
                <c:pt idx="0">
                  <c:v>26</c:v>
                </c:pt>
                <c:pt idx="1">
                  <c:v>22</c:v>
                </c:pt>
                <c:pt idx="2">
                  <c:v>7</c:v>
                </c:pt>
                <c:pt idx="3">
                  <c:v>1</c:v>
                </c:pt>
                <c:pt idx="4">
                  <c:v>4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</c:ser>
        <c:ser>
          <c:idx val="2"/>
          <c:order val="2"/>
          <c:tx>
            <c:strRef>
              <c:f>'regional x faixa_distancia'!$D$1:$D$2</c:f>
              <c:strCache>
                <c:ptCount val="1"/>
                <c:pt idx="0">
                  <c:v>Média</c:v>
                </c:pt>
              </c:strCache>
            </c:strRef>
          </c:tx>
          <c:invertIfNegative val="0"/>
          <c:cat>
            <c:strRef>
              <c:f>'regional x faixa_distancia'!$A$3:$A$12</c:f>
              <c:strCache>
                <c:ptCount val="9"/>
                <c:pt idx="0">
                  <c:v>Portão</c:v>
                </c:pt>
                <c:pt idx="1">
                  <c:v>Boqueirão</c:v>
                </c:pt>
                <c:pt idx="2">
                  <c:v>Matriz</c:v>
                </c:pt>
                <c:pt idx="3">
                  <c:v>Bairro Novo</c:v>
                </c:pt>
                <c:pt idx="4">
                  <c:v>Cajuru</c:v>
                </c:pt>
                <c:pt idx="5">
                  <c:v>Pinheirinho</c:v>
                </c:pt>
                <c:pt idx="6">
                  <c:v>Boa Vista</c:v>
                </c:pt>
                <c:pt idx="7">
                  <c:v>Santa Felicidade</c:v>
                </c:pt>
                <c:pt idx="8">
                  <c:v>CIC</c:v>
                </c:pt>
              </c:strCache>
            </c:strRef>
          </c:cat>
          <c:val>
            <c:numRef>
              <c:f>'regional x faixa_distancia'!$D$3:$D$12</c:f>
              <c:numCache>
                <c:formatCode>General</c:formatCode>
                <c:ptCount val="9"/>
                <c:pt idx="0">
                  <c:v>148</c:v>
                </c:pt>
                <c:pt idx="1">
                  <c:v>56</c:v>
                </c:pt>
                <c:pt idx="2">
                  <c:v>33</c:v>
                </c:pt>
                <c:pt idx="3">
                  <c:v>11</c:v>
                </c:pt>
                <c:pt idx="4">
                  <c:v>6</c:v>
                </c:pt>
                <c:pt idx="5">
                  <c:v>13</c:v>
                </c:pt>
                <c:pt idx="8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56812656"/>
        <c:axId val="956815920"/>
        <c:axId val="0"/>
      </c:bar3DChart>
      <c:catAx>
        <c:axId val="9568126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56815920"/>
        <c:crosses val="autoZero"/>
        <c:auto val="1"/>
        <c:lblAlgn val="ctr"/>
        <c:lblOffset val="100"/>
        <c:noMultiLvlLbl val="0"/>
      </c:catAx>
      <c:valAx>
        <c:axId val="9568159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568126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[banco_dados_excel - Projeto3_parte2.xlsx]ticket_medio_regional!Tabela dinâmica3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pt-BR"/>
              <a:t>Ticket</a:t>
            </a:r>
            <a:r>
              <a:rPr lang="pt-BR" baseline="0"/>
              <a:t> médio por Regional</a:t>
            </a:r>
            <a:endParaRPr lang="pt-BR"/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ticket_medio_regional!$B$3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ticket_medio_regional!$A$4:$A$14</c:f>
              <c:strCache>
                <c:ptCount val="10"/>
                <c:pt idx="0">
                  <c:v>Cajuru</c:v>
                </c:pt>
                <c:pt idx="1">
                  <c:v>Santa Felicidade</c:v>
                </c:pt>
                <c:pt idx="2">
                  <c:v>Pinheirinho</c:v>
                </c:pt>
                <c:pt idx="3">
                  <c:v>Boa Vista</c:v>
                </c:pt>
                <c:pt idx="4">
                  <c:v>Boqueirão</c:v>
                </c:pt>
                <c:pt idx="5">
                  <c:v>Portão</c:v>
                </c:pt>
                <c:pt idx="6">
                  <c:v>Matriz</c:v>
                </c:pt>
                <c:pt idx="7">
                  <c:v>Bairro Novo</c:v>
                </c:pt>
                <c:pt idx="8">
                  <c:v>CIC</c:v>
                </c:pt>
                <c:pt idx="9">
                  <c:v>#N/D</c:v>
                </c:pt>
              </c:strCache>
            </c:strRef>
          </c:cat>
          <c:val>
            <c:numRef>
              <c:f>ticket_medio_regional!$B$4:$B$14</c:f>
              <c:numCache>
                <c:formatCode>General</c:formatCode>
                <c:ptCount val="10"/>
                <c:pt idx="0">
                  <c:v>11.273333333333333</c:v>
                </c:pt>
                <c:pt idx="1">
                  <c:v>11.1</c:v>
                </c:pt>
                <c:pt idx="2">
                  <c:v>11.0595</c:v>
                </c:pt>
                <c:pt idx="3">
                  <c:v>9.35</c:v>
                </c:pt>
                <c:pt idx="4">
                  <c:v>8.2874814814814819</c:v>
                </c:pt>
                <c:pt idx="5">
                  <c:v>8.274258064516129</c:v>
                </c:pt>
                <c:pt idx="6">
                  <c:v>8.1179999999999968</c:v>
                </c:pt>
                <c:pt idx="7">
                  <c:v>6.9535999999999989</c:v>
                </c:pt>
                <c:pt idx="8">
                  <c:v>6.8474999999999993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6819184"/>
        <c:axId val="956816464"/>
      </c:barChart>
      <c:catAx>
        <c:axId val="956819184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956816464"/>
        <c:crosses val="autoZero"/>
        <c:auto val="1"/>
        <c:lblAlgn val="ctr"/>
        <c:lblOffset val="100"/>
        <c:noMultiLvlLbl val="0"/>
      </c:catAx>
      <c:valAx>
        <c:axId val="95681646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9568191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[banco_dados_excel - Projeto3_parte2.xlsx]produtividade_regional!Tabela dinâmica4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Produtividade Operacional por Regional</a:t>
            </a:r>
          </a:p>
        </c:rich>
      </c:tx>
      <c:layout>
        <c:manualLayout>
          <c:xMode val="edge"/>
          <c:yMode val="edge"/>
          <c:x val="0.14765067650676506"/>
          <c:y val="9.8499425975118252E-2"/>
        </c:manualLayout>
      </c:layout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produtividade_regional!$B$1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produtividade_regional!$A$2:$A$11</c:f>
              <c:strCache>
                <c:ptCount val="9"/>
                <c:pt idx="0">
                  <c:v>Portão</c:v>
                </c:pt>
                <c:pt idx="1">
                  <c:v>Boqueirão</c:v>
                </c:pt>
                <c:pt idx="2">
                  <c:v>Matriz</c:v>
                </c:pt>
                <c:pt idx="3">
                  <c:v>Bairro Novo</c:v>
                </c:pt>
                <c:pt idx="4">
                  <c:v>Pinheirinho</c:v>
                </c:pt>
                <c:pt idx="5">
                  <c:v>Cajuru</c:v>
                </c:pt>
                <c:pt idx="6">
                  <c:v>CIC</c:v>
                </c:pt>
                <c:pt idx="7">
                  <c:v>Santa Felicidade</c:v>
                </c:pt>
                <c:pt idx="8">
                  <c:v>Boa Vista</c:v>
                </c:pt>
              </c:strCache>
            </c:strRef>
          </c:cat>
          <c:val>
            <c:numRef>
              <c:f>produtividade_regional!$B$2:$B$11</c:f>
              <c:numCache>
                <c:formatCode>General</c:formatCode>
                <c:ptCount val="9"/>
                <c:pt idx="0">
                  <c:v>310</c:v>
                </c:pt>
                <c:pt idx="1">
                  <c:v>135</c:v>
                </c:pt>
                <c:pt idx="2">
                  <c:v>75</c:v>
                </c:pt>
                <c:pt idx="3">
                  <c:v>25</c:v>
                </c:pt>
                <c:pt idx="4">
                  <c:v>20</c:v>
                </c:pt>
                <c:pt idx="5">
                  <c:v>15</c:v>
                </c:pt>
                <c:pt idx="6">
                  <c:v>4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6821360"/>
        <c:axId val="956821904"/>
      </c:barChart>
      <c:catAx>
        <c:axId val="95682136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956821904"/>
        <c:crosses val="autoZero"/>
        <c:auto val="1"/>
        <c:lblAlgn val="ctr"/>
        <c:lblOffset val="100"/>
        <c:noMultiLvlLbl val="0"/>
      </c:catAx>
      <c:valAx>
        <c:axId val="95682190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9568213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[banco_dados_excel - Projeto3_parte2.xlsx]produtividade x ticket!Tabela dinâmica5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'produtividade x ticket'!$B$1</c:f>
              <c:strCache>
                <c:ptCount val="1"/>
                <c:pt idx="0">
                  <c:v>Qtd. Corridas</c:v>
                </c:pt>
              </c:strCache>
            </c:strRef>
          </c:tx>
          <c:invertIfNegative val="0"/>
          <c:cat>
            <c:strRef>
              <c:f>'produtividade x ticket'!$A$2:$A$11</c:f>
              <c:strCache>
                <c:ptCount val="9"/>
                <c:pt idx="0">
                  <c:v>Portão</c:v>
                </c:pt>
                <c:pt idx="1">
                  <c:v>Boqueirão</c:v>
                </c:pt>
                <c:pt idx="2">
                  <c:v>Matriz</c:v>
                </c:pt>
                <c:pt idx="3">
                  <c:v>Bairro Novo</c:v>
                </c:pt>
                <c:pt idx="4">
                  <c:v>Pinheirinho</c:v>
                </c:pt>
                <c:pt idx="5">
                  <c:v>Cajuru</c:v>
                </c:pt>
                <c:pt idx="6">
                  <c:v>CIC</c:v>
                </c:pt>
                <c:pt idx="7">
                  <c:v>Santa Felicidade</c:v>
                </c:pt>
                <c:pt idx="8">
                  <c:v>Boa Vista</c:v>
                </c:pt>
              </c:strCache>
            </c:strRef>
          </c:cat>
          <c:val>
            <c:numRef>
              <c:f>'produtividade x ticket'!$B$2:$B$11</c:f>
              <c:numCache>
                <c:formatCode>General</c:formatCode>
                <c:ptCount val="9"/>
                <c:pt idx="0">
                  <c:v>310</c:v>
                </c:pt>
                <c:pt idx="1">
                  <c:v>135</c:v>
                </c:pt>
                <c:pt idx="2">
                  <c:v>75</c:v>
                </c:pt>
                <c:pt idx="3">
                  <c:v>25</c:v>
                </c:pt>
                <c:pt idx="4">
                  <c:v>20</c:v>
                </c:pt>
                <c:pt idx="5">
                  <c:v>15</c:v>
                </c:pt>
                <c:pt idx="6">
                  <c:v>4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</c:ser>
        <c:ser>
          <c:idx val="1"/>
          <c:order val="1"/>
          <c:tx>
            <c:strRef>
              <c:f>'produtividade x ticket'!$C$1</c:f>
              <c:strCache>
                <c:ptCount val="1"/>
                <c:pt idx="0">
                  <c:v>Ticket médio</c:v>
                </c:pt>
              </c:strCache>
            </c:strRef>
          </c:tx>
          <c:invertIfNegative val="0"/>
          <c:cat>
            <c:strRef>
              <c:f>'produtividade x ticket'!$A$2:$A$11</c:f>
              <c:strCache>
                <c:ptCount val="9"/>
                <c:pt idx="0">
                  <c:v>Portão</c:v>
                </c:pt>
                <c:pt idx="1">
                  <c:v>Boqueirão</c:v>
                </c:pt>
                <c:pt idx="2">
                  <c:v>Matriz</c:v>
                </c:pt>
                <c:pt idx="3">
                  <c:v>Bairro Novo</c:v>
                </c:pt>
                <c:pt idx="4">
                  <c:v>Pinheirinho</c:v>
                </c:pt>
                <c:pt idx="5">
                  <c:v>Cajuru</c:v>
                </c:pt>
                <c:pt idx="6">
                  <c:v>CIC</c:v>
                </c:pt>
                <c:pt idx="7">
                  <c:v>Santa Felicidade</c:v>
                </c:pt>
                <c:pt idx="8">
                  <c:v>Boa Vista</c:v>
                </c:pt>
              </c:strCache>
            </c:strRef>
          </c:cat>
          <c:val>
            <c:numRef>
              <c:f>'produtividade x ticket'!$C$2:$C$11</c:f>
              <c:numCache>
                <c:formatCode>General</c:formatCode>
                <c:ptCount val="9"/>
                <c:pt idx="0">
                  <c:v>8.274258064516129</c:v>
                </c:pt>
                <c:pt idx="1">
                  <c:v>8.2874814814814819</c:v>
                </c:pt>
                <c:pt idx="2">
                  <c:v>8.1179999999999968</c:v>
                </c:pt>
                <c:pt idx="3">
                  <c:v>6.9535999999999989</c:v>
                </c:pt>
                <c:pt idx="4">
                  <c:v>11.0595</c:v>
                </c:pt>
                <c:pt idx="5">
                  <c:v>11.273333333333333</c:v>
                </c:pt>
                <c:pt idx="6">
                  <c:v>6.8474999999999993</c:v>
                </c:pt>
                <c:pt idx="7">
                  <c:v>11.1</c:v>
                </c:pt>
                <c:pt idx="8">
                  <c:v>9.35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7691152"/>
        <c:axId val="957696048"/>
      </c:barChart>
      <c:catAx>
        <c:axId val="9576911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57696048"/>
        <c:crosses val="autoZero"/>
        <c:auto val="1"/>
        <c:lblAlgn val="ctr"/>
        <c:lblOffset val="100"/>
        <c:noMultiLvlLbl val="0"/>
      </c:catAx>
      <c:valAx>
        <c:axId val="9576960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576911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[banco_dados_excel - Projeto3_parte2.xlsx]rentabilidade_regional!Tabela dinâmica6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rentabilidade_regional!$B$1</c:f>
              <c:strCache>
                <c:ptCount val="1"/>
                <c:pt idx="0">
                  <c:v>Faturamento</c:v>
                </c:pt>
              </c:strCache>
            </c:strRef>
          </c:tx>
          <c:invertIfNegative val="0"/>
          <c:cat>
            <c:strRef>
              <c:f>rentabilidade_regional!$A$2:$A$11</c:f>
              <c:strCache>
                <c:ptCount val="9"/>
                <c:pt idx="0">
                  <c:v>Portão</c:v>
                </c:pt>
                <c:pt idx="1">
                  <c:v>Boqueirão</c:v>
                </c:pt>
                <c:pt idx="2">
                  <c:v>Matriz</c:v>
                </c:pt>
                <c:pt idx="3">
                  <c:v>Pinheirinho</c:v>
                </c:pt>
                <c:pt idx="4">
                  <c:v>Bairro Novo</c:v>
                </c:pt>
                <c:pt idx="5">
                  <c:v>Cajuru</c:v>
                </c:pt>
                <c:pt idx="6">
                  <c:v>CIC</c:v>
                </c:pt>
                <c:pt idx="7">
                  <c:v>Santa Felicidade</c:v>
                </c:pt>
                <c:pt idx="8">
                  <c:v>Boa Vista</c:v>
                </c:pt>
              </c:strCache>
            </c:strRef>
          </c:cat>
          <c:val>
            <c:numRef>
              <c:f>rentabilidade_regional!$B$2:$B$11</c:f>
              <c:numCache>
                <c:formatCode>General</c:formatCode>
                <c:ptCount val="9"/>
                <c:pt idx="0">
                  <c:v>2565.02</c:v>
                </c:pt>
                <c:pt idx="1">
                  <c:v>1118.81</c:v>
                </c:pt>
                <c:pt idx="2">
                  <c:v>608.8499999999998</c:v>
                </c:pt>
                <c:pt idx="3">
                  <c:v>221.19</c:v>
                </c:pt>
                <c:pt idx="4">
                  <c:v>173.83999999999997</c:v>
                </c:pt>
                <c:pt idx="5">
                  <c:v>169.1</c:v>
                </c:pt>
                <c:pt idx="6">
                  <c:v>27.389999999999997</c:v>
                </c:pt>
                <c:pt idx="7">
                  <c:v>22.2</c:v>
                </c:pt>
                <c:pt idx="8">
                  <c:v>18.7</c:v>
                </c:pt>
              </c:numCache>
            </c:numRef>
          </c:val>
        </c:ser>
        <c:ser>
          <c:idx val="1"/>
          <c:order val="1"/>
          <c:tx>
            <c:strRef>
              <c:f>rentabilidade_regional!$C$1</c:f>
              <c:strCache>
                <c:ptCount val="1"/>
                <c:pt idx="0">
                  <c:v>Qtd. Corridas</c:v>
                </c:pt>
              </c:strCache>
            </c:strRef>
          </c:tx>
          <c:invertIfNegative val="0"/>
          <c:cat>
            <c:strRef>
              <c:f>rentabilidade_regional!$A$2:$A$11</c:f>
              <c:strCache>
                <c:ptCount val="9"/>
                <c:pt idx="0">
                  <c:v>Portão</c:v>
                </c:pt>
                <c:pt idx="1">
                  <c:v>Boqueirão</c:v>
                </c:pt>
                <c:pt idx="2">
                  <c:v>Matriz</c:v>
                </c:pt>
                <c:pt idx="3">
                  <c:v>Pinheirinho</c:v>
                </c:pt>
                <c:pt idx="4">
                  <c:v>Bairro Novo</c:v>
                </c:pt>
                <c:pt idx="5">
                  <c:v>Cajuru</c:v>
                </c:pt>
                <c:pt idx="6">
                  <c:v>CIC</c:v>
                </c:pt>
                <c:pt idx="7">
                  <c:v>Santa Felicidade</c:v>
                </c:pt>
                <c:pt idx="8">
                  <c:v>Boa Vista</c:v>
                </c:pt>
              </c:strCache>
            </c:strRef>
          </c:cat>
          <c:val>
            <c:numRef>
              <c:f>rentabilidade_regional!$C$2:$C$11</c:f>
              <c:numCache>
                <c:formatCode>General</c:formatCode>
                <c:ptCount val="9"/>
                <c:pt idx="0">
                  <c:v>310</c:v>
                </c:pt>
                <c:pt idx="1">
                  <c:v>135</c:v>
                </c:pt>
                <c:pt idx="2">
                  <c:v>75</c:v>
                </c:pt>
                <c:pt idx="3">
                  <c:v>20</c:v>
                </c:pt>
                <c:pt idx="4">
                  <c:v>25</c:v>
                </c:pt>
                <c:pt idx="5">
                  <c:v>15</c:v>
                </c:pt>
                <c:pt idx="6">
                  <c:v>4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</c:ser>
        <c:ser>
          <c:idx val="2"/>
          <c:order val="2"/>
          <c:tx>
            <c:strRef>
              <c:f>rentabilidade_regional!$D$1</c:f>
              <c:strCache>
                <c:ptCount val="1"/>
                <c:pt idx="0">
                  <c:v>Ticket médio</c:v>
                </c:pt>
              </c:strCache>
            </c:strRef>
          </c:tx>
          <c:invertIfNegative val="0"/>
          <c:cat>
            <c:strRef>
              <c:f>rentabilidade_regional!$A$2:$A$11</c:f>
              <c:strCache>
                <c:ptCount val="9"/>
                <c:pt idx="0">
                  <c:v>Portão</c:v>
                </c:pt>
                <c:pt idx="1">
                  <c:v>Boqueirão</c:v>
                </c:pt>
                <c:pt idx="2">
                  <c:v>Matriz</c:v>
                </c:pt>
                <c:pt idx="3">
                  <c:v>Pinheirinho</c:v>
                </c:pt>
                <c:pt idx="4">
                  <c:v>Bairro Novo</c:v>
                </c:pt>
                <c:pt idx="5">
                  <c:v>Cajuru</c:v>
                </c:pt>
                <c:pt idx="6">
                  <c:v>CIC</c:v>
                </c:pt>
                <c:pt idx="7">
                  <c:v>Santa Felicidade</c:v>
                </c:pt>
                <c:pt idx="8">
                  <c:v>Boa Vista</c:v>
                </c:pt>
              </c:strCache>
            </c:strRef>
          </c:cat>
          <c:val>
            <c:numRef>
              <c:f>rentabilidade_regional!$D$2:$D$11</c:f>
              <c:numCache>
                <c:formatCode>General</c:formatCode>
                <c:ptCount val="9"/>
                <c:pt idx="0">
                  <c:v>8.274258064516129</c:v>
                </c:pt>
                <c:pt idx="1">
                  <c:v>8.2874814814814819</c:v>
                </c:pt>
                <c:pt idx="2">
                  <c:v>8.1179999999999968</c:v>
                </c:pt>
                <c:pt idx="3">
                  <c:v>11.0595</c:v>
                </c:pt>
                <c:pt idx="4">
                  <c:v>6.9535999999999989</c:v>
                </c:pt>
                <c:pt idx="5">
                  <c:v>11.273333333333333</c:v>
                </c:pt>
                <c:pt idx="6">
                  <c:v>6.8474999999999993</c:v>
                </c:pt>
                <c:pt idx="7">
                  <c:v>11.1</c:v>
                </c:pt>
                <c:pt idx="8">
                  <c:v>9.35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57701488"/>
        <c:axId val="957690064"/>
        <c:axId val="0"/>
      </c:bar3DChart>
      <c:catAx>
        <c:axId val="9577014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57690064"/>
        <c:crosses val="autoZero"/>
        <c:auto val="1"/>
        <c:lblAlgn val="ctr"/>
        <c:lblOffset val="100"/>
        <c:noMultiLvlLbl val="0"/>
      </c:catAx>
      <c:valAx>
        <c:axId val="9576900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577014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[banco_dados_excel - Projeto3_parte2.xlsx]dashboard_operacional!Tabela dinâmica7</c:name>
    <c:fmtId val="4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dashboard_operacional!$A$1</c:f>
              <c:strCache>
                <c:ptCount val="1"/>
                <c:pt idx="0">
                  <c:v>Soma</c:v>
                </c:pt>
              </c:strCache>
            </c:strRef>
          </c:tx>
          <c:invertIfNegative val="0"/>
          <c:cat>
            <c:strRef>
              <c:f>dashboard_operacional!$A$2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dashboard_operacional!$A$2</c:f>
              <c:numCache>
                <c:formatCode>General</c:formatCode>
                <c:ptCount val="1"/>
                <c:pt idx="0">
                  <c:v>4925.1000000000004</c:v>
                </c:pt>
              </c:numCache>
            </c:numRef>
          </c:val>
        </c:ser>
        <c:ser>
          <c:idx val="1"/>
          <c:order val="1"/>
          <c:tx>
            <c:strRef>
              <c:f>dashboard_operacional!$B$1</c:f>
              <c:strCache>
                <c:ptCount val="1"/>
                <c:pt idx="0">
                  <c:v>Contagem</c:v>
                </c:pt>
              </c:strCache>
            </c:strRef>
          </c:tx>
          <c:invertIfNegative val="0"/>
          <c:cat>
            <c:strRef>
              <c:f>dashboard_operacional!$A$2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dashboard_operacional!$B$2</c:f>
              <c:numCache>
                <c:formatCode>General</c:formatCode>
                <c:ptCount val="1"/>
                <c:pt idx="0">
                  <c:v>588</c:v>
                </c:pt>
              </c:numCache>
            </c:numRef>
          </c:val>
        </c:ser>
        <c:ser>
          <c:idx val="2"/>
          <c:order val="2"/>
          <c:tx>
            <c:strRef>
              <c:f>dashboard_operacional!$C$1</c:f>
              <c:strCache>
                <c:ptCount val="1"/>
                <c:pt idx="0">
                  <c:v>Ticket médio</c:v>
                </c:pt>
              </c:strCache>
            </c:strRef>
          </c:tx>
          <c:invertIfNegative val="0"/>
          <c:cat>
            <c:strRef>
              <c:f>dashboard_operacional!$A$2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dashboard_operacional!$C$2</c:f>
              <c:numCache>
                <c:formatCode>General</c:formatCode>
                <c:ptCount val="1"/>
                <c:pt idx="0">
                  <c:v>8.3760204081632654</c:v>
                </c:pt>
              </c:numCache>
            </c:numRef>
          </c:val>
        </c:ser>
        <c:ser>
          <c:idx val="3"/>
          <c:order val="3"/>
          <c:tx>
            <c:strRef>
              <c:f>dashboard_operacional!$D$1</c:f>
              <c:strCache>
                <c:ptCount val="1"/>
                <c:pt idx="0">
                  <c:v>distância_média_km</c:v>
                </c:pt>
              </c:strCache>
            </c:strRef>
          </c:tx>
          <c:invertIfNegative val="0"/>
          <c:cat>
            <c:strRef>
              <c:f>dashboard_operacional!$A$2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dashboard_operacional!$D$2</c:f>
              <c:numCache>
                <c:formatCode>General</c:formatCode>
                <c:ptCount val="1"/>
                <c:pt idx="0">
                  <c:v>2.5295918367346917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57693872"/>
        <c:axId val="957688432"/>
        <c:axId val="0"/>
      </c:bar3DChart>
      <c:catAx>
        <c:axId val="9576938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57688432"/>
        <c:crosses val="autoZero"/>
        <c:auto val="1"/>
        <c:lblAlgn val="ctr"/>
        <c:lblOffset val="100"/>
        <c:noMultiLvlLbl val="0"/>
      </c:catAx>
      <c:valAx>
        <c:axId val="9576884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576938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466725</xdr:colOff>
      <xdr:row>0</xdr:row>
      <xdr:rowOff>52387</xdr:rowOff>
    </xdr:from>
    <xdr:to>
      <xdr:col>12</xdr:col>
      <xdr:colOff>485775</xdr:colOff>
      <xdr:row>13</xdr:row>
      <xdr:rowOff>9525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13</xdr:row>
      <xdr:rowOff>76200</xdr:rowOff>
    </xdr:from>
    <xdr:to>
      <xdr:col>5</xdr:col>
      <xdr:colOff>352426</xdr:colOff>
      <xdr:row>26</xdr:row>
      <xdr:rowOff>80961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485775</xdr:colOff>
      <xdr:row>13</xdr:row>
      <xdr:rowOff>76199</xdr:rowOff>
    </xdr:from>
    <xdr:to>
      <xdr:col>12</xdr:col>
      <xdr:colOff>476250</xdr:colOff>
      <xdr:row>26</xdr:row>
      <xdr:rowOff>128586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895350</xdr:colOff>
      <xdr:row>8</xdr:row>
      <xdr:rowOff>9525</xdr:rowOff>
    </xdr:from>
    <xdr:to>
      <xdr:col>7</xdr:col>
      <xdr:colOff>180975</xdr:colOff>
      <xdr:row>24</xdr:row>
      <xdr:rowOff>147637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514349</xdr:colOff>
      <xdr:row>2</xdr:row>
      <xdr:rowOff>104774</xdr:rowOff>
    </xdr:from>
    <xdr:to>
      <xdr:col>13</xdr:col>
      <xdr:colOff>447674</xdr:colOff>
      <xdr:row>22</xdr:row>
      <xdr:rowOff>114299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6</xdr:row>
      <xdr:rowOff>33337</xdr:rowOff>
    </xdr:from>
    <xdr:to>
      <xdr:col>11</xdr:col>
      <xdr:colOff>114300</xdr:colOff>
      <xdr:row>20</xdr:row>
      <xdr:rowOff>109537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1323975</xdr:colOff>
      <xdr:row>4</xdr:row>
      <xdr:rowOff>157162</xdr:rowOff>
    </xdr:from>
    <xdr:to>
      <xdr:col>9</xdr:col>
      <xdr:colOff>485775</xdr:colOff>
      <xdr:row>19</xdr:row>
      <xdr:rowOff>42862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200025</xdr:colOff>
      <xdr:row>8</xdr:row>
      <xdr:rowOff>90486</xdr:rowOff>
    </xdr:from>
    <xdr:to>
      <xdr:col>9</xdr:col>
      <xdr:colOff>1219200</xdr:colOff>
      <xdr:row>27</xdr:row>
      <xdr:rowOff>190499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1143000</xdr:colOff>
      <xdr:row>14</xdr:row>
      <xdr:rowOff>171450</xdr:rowOff>
    </xdr:from>
    <xdr:to>
      <xdr:col>12</xdr:col>
      <xdr:colOff>228599</xdr:colOff>
      <xdr:row>26</xdr:row>
      <xdr:rowOff>119062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8</xdr:row>
      <xdr:rowOff>47625</xdr:rowOff>
    </xdr:from>
    <xdr:to>
      <xdr:col>23</xdr:col>
      <xdr:colOff>200025</xdr:colOff>
      <xdr:row>26</xdr:row>
      <xdr:rowOff>33337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0.33144</cdr:x>
      <cdr:y>0.04463</cdr:y>
    </cdr:from>
    <cdr:to>
      <cdr:x>0.8428</cdr:x>
      <cdr:y>0.31241</cdr:y>
    </cdr:to>
    <cdr:sp macro="" textlink="">
      <cdr:nvSpPr>
        <cdr:cNvPr id="2" name="CaixaDeTexto 1"/>
        <cdr:cNvSpPr txBox="1"/>
      </cdr:nvSpPr>
      <cdr:spPr>
        <a:xfrm xmlns:a="http://schemas.openxmlformats.org/drawingml/2006/main">
          <a:off x="1666875" y="152400"/>
          <a:ext cx="257175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  <cdr:relSizeAnchor xmlns:cdr="http://schemas.openxmlformats.org/drawingml/2006/chartDrawing">
    <cdr:from>
      <cdr:x>0.33902</cdr:x>
      <cdr:y>0.00837</cdr:y>
    </cdr:from>
    <cdr:to>
      <cdr:x>0.52083</cdr:x>
      <cdr:y>0.30683</cdr:y>
    </cdr:to>
    <cdr:sp macro="" textlink="">
      <cdr:nvSpPr>
        <cdr:cNvPr id="3" name="CaixaDeTexto 2"/>
        <cdr:cNvSpPr txBox="1"/>
      </cdr:nvSpPr>
      <cdr:spPr>
        <a:xfrm xmlns:a="http://schemas.openxmlformats.org/drawingml/2006/main">
          <a:off x="1704975" y="28575"/>
          <a:ext cx="914400" cy="10191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sz="1600"/>
            <a:t>Faturamento</a:t>
          </a:r>
          <a:r>
            <a:rPr lang="pt-BR" sz="1600" baseline="0"/>
            <a:t> por Regional e Período</a:t>
          </a:r>
          <a:endParaRPr lang="pt-BR" sz="1600"/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752476</xdr:colOff>
      <xdr:row>3</xdr:row>
      <xdr:rowOff>0</xdr:rowOff>
    </xdr:from>
    <xdr:to>
      <xdr:col>10</xdr:col>
      <xdr:colOff>495300</xdr:colOff>
      <xdr:row>23</xdr:row>
      <xdr:rowOff>133350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6</xdr:row>
      <xdr:rowOff>33337</xdr:rowOff>
    </xdr:from>
    <xdr:to>
      <xdr:col>11</xdr:col>
      <xdr:colOff>114300</xdr:colOff>
      <xdr:row>20</xdr:row>
      <xdr:rowOff>109537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13</xdr:row>
      <xdr:rowOff>95250</xdr:rowOff>
    </xdr:from>
    <xdr:to>
      <xdr:col>14</xdr:col>
      <xdr:colOff>0</xdr:colOff>
      <xdr:row>25</xdr:row>
      <xdr:rowOff>52387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133350</xdr:colOff>
      <xdr:row>11</xdr:row>
      <xdr:rowOff>57150</xdr:rowOff>
    </xdr:from>
    <xdr:to>
      <xdr:col>13</xdr:col>
      <xdr:colOff>285750</xdr:colOff>
      <xdr:row>26</xdr:row>
      <xdr:rowOff>157162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5</xdr:col>
      <xdr:colOff>381000</xdr:colOff>
      <xdr:row>5</xdr:row>
      <xdr:rowOff>95250</xdr:rowOff>
    </xdr:from>
    <xdr:ext cx="184731" cy="264560"/>
    <xdr:sp macro="" textlink="">
      <xdr:nvSpPr>
        <xdr:cNvPr id="3" name="CaixaDeTexto 2"/>
        <xdr:cNvSpPr txBox="1"/>
      </xdr:nvSpPr>
      <xdr:spPr>
        <a:xfrm>
          <a:off x="5038725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0.21042</cdr:x>
      <cdr:y>0.0191</cdr:y>
    </cdr:from>
    <cdr:to>
      <cdr:x>0.48958</cdr:x>
      <cdr:y>0.35243</cdr:y>
    </cdr:to>
    <cdr:sp macro="" textlink="">
      <cdr:nvSpPr>
        <cdr:cNvPr id="2" name="CaixaDeTexto 1"/>
        <cdr:cNvSpPr txBox="1"/>
      </cdr:nvSpPr>
      <cdr:spPr>
        <a:xfrm xmlns:a="http://schemas.openxmlformats.org/drawingml/2006/main">
          <a:off x="962025" y="52388"/>
          <a:ext cx="1276351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pt-BR" sz="1100"/>
        </a:p>
        <a:p xmlns:a="http://schemas.openxmlformats.org/drawingml/2006/main">
          <a:r>
            <a:rPr lang="pt-BR" sz="1200"/>
            <a:t>Distribuição</a:t>
          </a:r>
          <a:r>
            <a:rPr lang="pt-BR" sz="1200" baseline="0"/>
            <a:t> de Corridas por Regional Faixa de Distância</a:t>
          </a:r>
          <a:endParaRPr lang="pt-BR" sz="1200"/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161924</xdr:colOff>
      <xdr:row>0</xdr:row>
      <xdr:rowOff>171450</xdr:rowOff>
    </xdr:from>
    <xdr:to>
      <xdr:col>12</xdr:col>
      <xdr:colOff>171449</xdr:colOff>
      <xdr:row>18</xdr:row>
      <xdr:rowOff>71437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4</xdr:row>
      <xdr:rowOff>85725</xdr:rowOff>
    </xdr:from>
    <xdr:to>
      <xdr:col>12</xdr:col>
      <xdr:colOff>85725</xdr:colOff>
      <xdr:row>22</xdr:row>
      <xdr:rowOff>109537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447675</xdr:colOff>
      <xdr:row>5</xdr:row>
      <xdr:rowOff>38100</xdr:rowOff>
    </xdr:from>
    <xdr:to>
      <xdr:col>13</xdr:col>
      <xdr:colOff>161925</xdr:colOff>
      <xdr:row>22</xdr:row>
      <xdr:rowOff>128587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0.25246</cdr:x>
      <cdr:y>0.00858</cdr:y>
    </cdr:from>
    <cdr:to>
      <cdr:x>0.40984</cdr:x>
      <cdr:y>0.3319</cdr:y>
    </cdr:to>
    <cdr:sp macro="" textlink="">
      <cdr:nvSpPr>
        <cdr:cNvPr id="2" name="CaixaDeTexto 1"/>
        <cdr:cNvSpPr txBox="1"/>
      </cdr:nvSpPr>
      <cdr:spPr>
        <a:xfrm xmlns:a="http://schemas.openxmlformats.org/drawingml/2006/main">
          <a:off x="1466850" y="28575"/>
          <a:ext cx="914400" cy="1076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  <cdr:relSizeAnchor xmlns:cdr="http://schemas.openxmlformats.org/drawingml/2006/chartDrawing">
    <cdr:from>
      <cdr:x>0.27213</cdr:x>
      <cdr:y>0</cdr:y>
    </cdr:from>
    <cdr:to>
      <cdr:x>0.42951</cdr:x>
      <cdr:y>0.27468</cdr:y>
    </cdr:to>
    <cdr:sp macro="" textlink="">
      <cdr:nvSpPr>
        <cdr:cNvPr id="3" name="CaixaDeTexto 2"/>
        <cdr:cNvSpPr txBox="1"/>
      </cdr:nvSpPr>
      <cdr:spPr>
        <a:xfrm xmlns:a="http://schemas.openxmlformats.org/drawingml/2006/main">
          <a:off x="1581150" y="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sz="1600"/>
            <a:t>Produtividade e ticket médio por Regional</a:t>
          </a: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6</xdr:row>
      <xdr:rowOff>38099</xdr:rowOff>
    </xdr:from>
    <xdr:to>
      <xdr:col>13</xdr:col>
      <xdr:colOff>295274</xdr:colOff>
      <xdr:row>26</xdr:row>
      <xdr:rowOff>123824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0.38983</cdr:x>
      <cdr:y>0.04646</cdr:y>
    </cdr:from>
    <cdr:to>
      <cdr:x>0.55254</cdr:x>
      <cdr:y>0.28117</cdr:y>
    </cdr:to>
    <cdr:sp macro="" textlink="">
      <cdr:nvSpPr>
        <cdr:cNvPr id="2" name="CaixaDeTexto 1"/>
        <cdr:cNvSpPr txBox="1"/>
      </cdr:nvSpPr>
      <cdr:spPr>
        <a:xfrm xmlns:a="http://schemas.openxmlformats.org/drawingml/2006/main">
          <a:off x="2190750" y="18097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  <cdr:relSizeAnchor xmlns:cdr="http://schemas.openxmlformats.org/drawingml/2006/chartDrawing">
    <cdr:from>
      <cdr:x>0.35763</cdr:x>
      <cdr:y>0.00734</cdr:y>
    </cdr:from>
    <cdr:to>
      <cdr:x>0.57458</cdr:x>
      <cdr:y>0.24205</cdr:y>
    </cdr:to>
    <cdr:sp macro="" textlink="">
      <cdr:nvSpPr>
        <cdr:cNvPr id="3" name="CaixaDeTexto 2"/>
        <cdr:cNvSpPr txBox="1"/>
      </cdr:nvSpPr>
      <cdr:spPr>
        <a:xfrm xmlns:a="http://schemas.openxmlformats.org/drawingml/2006/main">
          <a:off x="2009775" y="28576"/>
          <a:ext cx="12192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sz="1600"/>
            <a:t>  Rentabilidade Operacional por Regional</a:t>
          </a:r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6</xdr:row>
      <xdr:rowOff>161925</xdr:rowOff>
    </xdr:from>
    <xdr:to>
      <xdr:col>13</xdr:col>
      <xdr:colOff>133350</xdr:colOff>
      <xdr:row>25</xdr:row>
      <xdr:rowOff>90487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banco_dados_excel%20-%20Projeto3_parte2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banco_dados_excel%20-%20Projeto3_parte2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or" refreshedDate="46167.850624421299" createdVersion="4" refreshedVersion="4" minRefreshableVersion="3" recordCount="590">
  <cacheSource type="worksheet">
    <worksheetSource ref="A1:J1048576" sheet="tabela_origem" r:id="rId2"/>
  </cacheSource>
  <cacheFields count="9">
    <cacheField name="data" numFmtId="14">
      <sharedItems containsNonDate="0" containsDate="1" containsString="0" containsBlank="1" minDate="2026-03-02T00:00:00" maxDate="2026-03-28T00:00:00"/>
    </cacheField>
    <cacheField name="periodo" numFmtId="0">
      <sharedItems containsBlank="1" count="3">
        <s v="manhã"/>
        <s v="tarde"/>
        <m/>
      </sharedItems>
    </cacheField>
    <cacheField name="horario" numFmtId="20">
      <sharedItems containsNonDate="0" containsDate="1" containsString="0" containsBlank="1" minDate="1899-12-30T07:22:00" maxDate="1899-12-30T20:17:00" count="351">
        <d v="1899-12-30T07:34:00"/>
        <d v="1899-12-30T08:13:00"/>
        <d v="1899-12-30T08:53:00"/>
        <d v="1899-12-30T09:07:00"/>
        <d v="1899-12-30T09:29:00"/>
        <d v="1899-12-30T08:04:00"/>
        <d v="1899-12-30T09:50:00"/>
        <d v="1899-12-30T09:41:00"/>
        <d v="1899-12-30T09:25:00"/>
        <d v="1899-12-30T07:30:00"/>
        <d v="1899-12-30T08:59:00"/>
        <d v="1899-12-30T08:00:00"/>
        <d v="1899-12-30T08:54:00"/>
        <d v="1899-12-30T08:21:00"/>
        <d v="1899-12-30T09:51:00"/>
        <d v="1899-12-30T09:18:00"/>
        <d v="1899-12-30T09:26:00"/>
        <d v="1899-12-30T07:49:00"/>
        <d v="1899-12-30T07:33:00"/>
        <d v="1899-12-30T08:51:00"/>
        <d v="1899-12-30T08:23:00"/>
        <d v="1899-12-30T08:05:00"/>
        <d v="1899-12-30T08:37:00"/>
        <d v="1899-12-30T07:44:00"/>
        <d v="1899-12-30T08:12:00"/>
        <d v="1899-12-30T09:17:00"/>
        <d v="1899-12-30T08:47:00"/>
        <d v="1899-12-30T08:43:00"/>
        <d v="1899-12-30T07:29:00"/>
        <d v="1899-12-30T07:50:00"/>
        <d v="1899-12-30T08:03:00"/>
        <d v="1899-12-30T08:16:00"/>
        <d v="1899-12-30T07:39:00"/>
        <d v="1899-12-30T08:38:00"/>
        <d v="1899-12-30T09:32:00"/>
        <d v="1899-12-30T08:36:00"/>
        <d v="1899-12-30T09:09:00"/>
        <d v="1899-12-30T09:49:00"/>
        <d v="1899-12-30T07:58:00"/>
        <d v="1899-12-30T09:08:00"/>
        <d v="1899-12-30T10:00:00"/>
        <d v="1899-12-30T08:41:00"/>
        <d v="1899-12-30T09:35:00"/>
        <d v="1899-12-30T09:15:00"/>
        <d v="1899-12-30T07:38:00"/>
        <d v="1899-12-30T07:43:00"/>
        <d v="1899-12-30T09:01:00"/>
        <d v="1899-12-30T09:16:00"/>
        <d v="1899-12-30T07:47:00"/>
        <d v="1899-12-30T09:36:00"/>
        <d v="1899-12-30T08:02:00"/>
        <d v="1899-12-30T09:44:00"/>
        <d v="1899-12-30T09:56:00"/>
        <d v="1899-12-30T08:14:00"/>
        <d v="1899-12-30T08:22:00"/>
        <d v="1899-12-30T07:48:00"/>
        <d v="1899-12-30T07:57:00"/>
        <d v="1899-12-30T08:34:00"/>
        <d v="1899-12-30T09:24:00"/>
        <d v="1899-12-30T08:09:00"/>
        <d v="1899-12-30T08:44:00"/>
        <d v="1899-12-30T09:46:00"/>
        <d v="1899-12-30T08:25:00"/>
        <d v="1899-12-30T09:40:00"/>
        <d v="1899-12-30T07:27:00"/>
        <d v="1899-12-30T09:06:00"/>
        <d v="1899-12-30T08:42:00"/>
        <d v="1899-12-30T09:33:00"/>
        <d v="1899-12-30T08:01:00"/>
        <d v="1899-12-30T08:33:00"/>
        <d v="1899-12-30T07:56:00"/>
        <d v="1899-12-30T09:55:00"/>
        <d v="1899-12-30T09:14:00"/>
        <d v="1899-12-30T07:42:00"/>
        <d v="1899-12-30T07:54:00"/>
        <d v="1899-12-30T08:10:00"/>
        <d v="1899-12-30T08:20:00"/>
        <d v="1899-12-30T09:39:00"/>
        <d v="1899-12-30T08:52:00"/>
        <d v="1899-12-30T09:02:00"/>
        <d v="1899-12-30T09:20:00"/>
        <d v="1899-12-30T08:27:00"/>
        <d v="1899-12-30T07:46:00"/>
        <d v="1899-12-30T08:07:00"/>
        <d v="1899-12-30T08:35:00"/>
        <d v="1899-12-30T08:18:00"/>
        <d v="1899-12-30T09:27:00"/>
        <d v="1899-12-30T08:45:00"/>
        <d v="1899-12-30T07:41:00"/>
        <d v="1899-12-30T07:32:00"/>
        <d v="1899-12-30T08:08:00"/>
        <d v="1899-12-30T08:15:00"/>
        <d v="1899-12-30T08:55:00"/>
        <d v="1899-12-30T08:31:00"/>
        <d v="1899-12-30T08:28:00"/>
        <d v="1899-12-30T09:12:00"/>
        <d v="1899-12-30T09:45:00"/>
        <d v="1899-12-30T09:38:00"/>
        <d v="1899-12-30T07:40:00"/>
        <d v="1899-12-30T07:55:00"/>
        <d v="1899-12-30T08:30:00"/>
        <d v="1899-12-30T08:58:00"/>
        <d v="1899-12-30T09:13:00"/>
        <d v="1899-12-30T09:37:00"/>
        <d v="1899-12-30T07:53:00"/>
        <d v="1899-12-30T07:35:00"/>
        <d v="1899-12-30T08:06:00"/>
        <d v="1899-12-30T08:46:00"/>
        <d v="1899-12-30T09:22:00"/>
        <d v="1899-12-30T07:36:00"/>
        <d v="1899-12-30T07:22:00"/>
        <d v="1899-12-30T07:31:00"/>
        <d v="1899-12-30T09:05:00"/>
        <d v="1899-12-30T09:57:00"/>
        <d v="1899-12-30T09:00:00"/>
        <d v="1899-12-30T07:59:00"/>
        <d v="1899-12-30T09:54:00"/>
        <d v="1899-12-30T08:57:00"/>
        <d v="1899-12-30T09:42:00"/>
        <d v="1899-12-30T09:30:00"/>
        <d v="1899-12-30T08:17:00"/>
        <d v="1899-12-30T09:19:00"/>
        <d v="1899-12-30T17:13:00"/>
        <d v="1899-12-30T16:53:00"/>
        <d v="1899-12-30T19:28:00"/>
        <d v="1899-12-30T17:55:00"/>
        <d v="1899-12-30T19:13:00"/>
        <d v="1899-12-30T17:39:00"/>
        <d v="1899-12-30T16:38:00"/>
        <d v="1899-12-30T17:29:00"/>
        <d v="1899-12-30T16:47:00"/>
        <d v="1899-12-30T18:34:00"/>
        <d v="1899-12-30T15:42:00"/>
        <d v="1899-12-30T15:30:00"/>
        <d v="1899-12-30T16:09:00"/>
        <d v="1899-12-30T18:48:00"/>
        <d v="1899-12-30T19:49:00"/>
        <d v="1899-12-30T19:00:00"/>
        <d v="1899-12-30T15:05:00"/>
        <d v="1899-12-30T19:55:00"/>
        <d v="1899-12-30T15:11:00"/>
        <d v="1899-12-30T18:16:00"/>
        <d v="1899-12-30T18:28:00"/>
        <d v="1899-12-30T18:58:00"/>
        <d v="1899-12-30T16:46:00"/>
        <d v="1899-12-30T17:22:00"/>
        <d v="1899-12-30T19:03:00"/>
        <d v="1899-12-30T17:12:00"/>
        <d v="1899-12-30T15:59:00"/>
        <d v="1899-12-30T16:17:00"/>
        <d v="1899-12-30T18:26:00"/>
        <d v="1899-12-30T17:54:00"/>
        <d v="1899-12-30T16:25:00"/>
        <d v="1899-12-30T17:44:00"/>
        <d v="1899-12-30T15:38:00"/>
        <d v="1899-12-30T15:33:00"/>
        <d v="1899-12-30T16:05:00"/>
        <d v="1899-12-30T15:18:00"/>
        <d v="1899-12-30T17:43:00"/>
        <d v="1899-12-30T18:46:00"/>
        <d v="1899-12-30T18:55:00"/>
        <d v="1899-12-30T18:07:00"/>
        <d v="1899-12-30T18:42:00"/>
        <d v="1899-12-30T18:05:00"/>
        <d v="1899-12-30T18:54:00"/>
        <d v="1899-12-30T16:52:00"/>
        <d v="1899-12-30T17:21:00"/>
        <d v="1899-12-30T16:59:00"/>
        <d v="1899-12-30T16:06:00"/>
        <d v="1899-12-30T17:11:00"/>
        <d v="1899-12-30T16:40:00"/>
        <d v="1899-12-30T19:11:00"/>
        <d v="1899-12-30T18:39:00"/>
        <d v="1899-12-30T16:29:00"/>
        <d v="1899-12-30T17:08:00"/>
        <d v="1899-12-30T15:37:00"/>
        <d v="1899-12-30T19:34:00"/>
        <d v="1899-12-30T16:15:00"/>
        <d v="1899-12-30T17:56:00"/>
        <d v="1899-12-30T17:23:00"/>
        <d v="1899-12-30T18:50:00"/>
        <d v="1899-12-30T18:25:00"/>
        <d v="1899-12-30T16:48:00"/>
        <d v="1899-12-30T19:54:00"/>
        <d v="1899-12-30T15:04:00"/>
        <d v="1899-12-30T15:08:00"/>
        <d v="1899-12-30T16:07:00"/>
        <d v="1899-12-30T20:05:00"/>
        <d v="1899-12-30T18:13:00"/>
        <d v="1899-12-30T18:37:00"/>
        <d v="1899-12-30T19:19:00"/>
        <d v="1899-12-30T16:02:00"/>
        <d v="1899-12-30T19:26:00"/>
        <d v="1899-12-30T16:21:00"/>
        <d v="1899-12-30T15:46:00"/>
        <d v="1899-12-30T15:26:00"/>
        <d v="1899-12-30T17:14:00"/>
        <d v="1899-12-30T17:59:00"/>
        <d v="1899-12-30T18:29:00"/>
        <d v="1899-12-30T17:04:00"/>
        <d v="1899-12-30T19:16:00"/>
        <d v="1899-12-30T18:22:00"/>
        <d v="1899-12-30T20:10:00"/>
        <d v="1899-12-30T19:33:00"/>
        <d v="1899-12-30T19:58:00"/>
        <d v="1899-12-30T19:40:00"/>
        <d v="1899-12-30T15:39:00"/>
        <d v="1899-12-30T17:07:00"/>
        <d v="1899-12-30T17:33:00"/>
        <d v="1899-12-30T16:50:00"/>
        <d v="1899-12-30T18:14:00"/>
        <d v="1899-12-30T18:02:00"/>
        <d v="1899-12-30T16:39:00"/>
        <d v="1899-12-30T19:01:00"/>
        <d v="1899-12-30T15:55:00"/>
        <d v="1899-12-30T15:06:00"/>
        <d v="1899-12-30T16:11:00"/>
        <d v="1899-12-30T15:15:00"/>
        <d v="1899-12-30T15:10:00"/>
        <d v="1899-12-30T16:27:00"/>
        <d v="1899-12-30T15:22:00"/>
        <d v="1899-12-30T18:33:00"/>
        <d v="1899-12-30T17:48:00"/>
        <d v="1899-12-30T19:06:00"/>
        <d v="1899-12-30T19:27:00"/>
        <d v="1899-12-30T18:10:00"/>
        <d v="1899-12-30T16:43:00"/>
        <d v="1899-12-30T16:18:00"/>
        <d v="1899-12-30T15:17:00"/>
        <d v="1899-12-30T16:13:00"/>
        <d v="1899-12-30T18:59:00"/>
        <d v="1899-12-30T16:35:00"/>
        <d v="1899-12-30T16:00:00"/>
        <d v="1899-12-30T19:21:00"/>
        <d v="1899-12-30T19:02:00"/>
        <d v="1899-12-30T17:58:00"/>
        <d v="1899-12-30T18:53:00"/>
        <d v="1899-12-30T17:16:00"/>
        <d v="1899-12-30T16:49:00"/>
        <d v="1899-12-30T16:44:00"/>
        <d v="1899-12-30T19:56:00"/>
        <d v="1899-12-30T18:17:00"/>
        <d v="1899-12-30T18:38:00"/>
        <d v="1899-12-30T19:46:00"/>
        <d v="1899-12-30T18:44:00"/>
        <d v="1899-12-30T19:36:00"/>
        <d v="1899-12-30T16:55:00"/>
        <d v="1899-12-30T17:51:00"/>
        <d v="1899-12-30T18:15:00"/>
        <d v="1899-12-30T16:33:00"/>
        <d v="1899-12-30T19:10:00"/>
        <d v="1899-12-30T17:28:00"/>
        <d v="1899-12-30T15:21:00"/>
        <d v="1899-12-30T19:25:00"/>
        <d v="1899-12-30T15:47:00"/>
        <d v="1899-12-30T19:53:00"/>
        <d v="1899-12-30T20:02:00"/>
        <d v="1899-12-30T17:03:00"/>
        <d v="1899-12-30T18:35:00"/>
        <d v="1899-12-30T17:49:00"/>
        <d v="1899-12-30T17:37:00"/>
        <d v="1899-12-30T17:57:00"/>
        <d v="1899-12-30T17:38:00"/>
        <d v="1899-12-30T16:31:00"/>
        <d v="1899-12-30T18:57:00"/>
        <d v="1899-12-30T17:25:00"/>
        <d v="1899-12-30T15:14:00"/>
        <d v="1899-12-30T16:54:00"/>
        <d v="1899-12-30T16:22:00"/>
        <d v="1899-12-30T18:31:00"/>
        <d v="1899-12-30T15:43:00"/>
        <d v="1899-12-30T15:53:00"/>
        <m/>
        <d v="1899-12-30T17:30:00"/>
        <d v="1899-12-30T19:07:00"/>
        <d v="1899-12-30T17:09:00"/>
        <d v="1899-12-30T19:47:00"/>
        <d v="1899-12-30T17:53:00"/>
        <d v="1899-12-30T18:40:00"/>
        <d v="1899-12-30T18:27:00"/>
        <d v="1899-12-30T16:32:00"/>
        <d v="1899-12-30T17:05:00"/>
        <d v="1899-12-30T16:04:00"/>
        <d v="1899-12-30T16:30:00"/>
        <d v="1899-12-30T15:56:00"/>
        <d v="1899-12-30T16:10:00"/>
        <d v="1899-12-30T16:14:00"/>
        <d v="1899-12-30T17:42:00"/>
        <d v="1899-12-30T15:25:00"/>
        <d v="1899-12-30T15:19:00"/>
        <d v="1899-12-30T15:13:00"/>
        <d v="1899-12-30T18:12:00"/>
        <d v="1899-12-30T18:18:00"/>
        <d v="1899-12-30T18:52:00"/>
        <d v="1899-12-30T19:05:00"/>
        <d v="1899-12-30T19:41:00"/>
        <d v="1899-12-30T19:50:00"/>
        <d v="1899-12-30T18:04:00"/>
        <d v="1899-12-30T16:12:00"/>
        <d v="1899-12-30T15:44:00"/>
        <d v="1899-12-30T17:20:00"/>
        <d v="1899-12-30T18:01:00"/>
        <d v="1899-12-30T15:58:00"/>
        <d v="1899-12-30T15:20:00"/>
        <d v="1899-12-30T16:56:00"/>
        <d v="1899-12-30T15:09:00"/>
        <d v="1899-12-30T16:37:00"/>
        <d v="1899-12-30T15:40:00"/>
        <d v="1899-12-30T16:42:00"/>
        <d v="1899-12-30T17:40:00"/>
        <d v="1899-12-30T15:02:00"/>
        <d v="1899-12-30T18:08:00"/>
        <d v="1899-12-30T18:56:00"/>
        <d v="1899-12-30T17:15:00"/>
        <d v="1899-12-30T15:57:00"/>
        <d v="1899-12-30T19:08:00"/>
        <d v="1899-12-30T17:52:00"/>
        <d v="1899-12-30T19:37:00"/>
        <d v="1899-12-30T18:30:00"/>
        <d v="1899-12-30T16:23:00"/>
        <d v="1899-12-30T15:49:00"/>
        <d v="1899-12-30T17:35:00"/>
        <d v="1899-12-30T18:09:00"/>
        <d v="1899-12-30T16:36:00"/>
        <d v="1899-12-30T15:48:00"/>
        <d v="1899-12-30T17:50:00"/>
        <d v="1899-12-30T15:28:00"/>
        <d v="1899-12-30T17:00:00"/>
        <d v="1899-12-30T18:43:00"/>
        <d v="1899-12-30T15:54:00"/>
        <d v="1899-12-30T19:32:00"/>
        <d v="1899-12-30T18:03:00"/>
        <d v="1899-12-30T17:41:00"/>
        <d v="1899-12-30T18:24:00"/>
        <d v="1899-12-30T17:06:00"/>
        <d v="1899-12-30T16:34:00"/>
        <d v="1899-12-30T16:51:00"/>
        <d v="1899-12-30T16:28:00"/>
        <d v="1899-12-30T19:23:00"/>
        <d v="1899-12-30T16:08:00"/>
        <d v="1899-12-30T19:09:00"/>
        <d v="1899-12-30T17:45:00"/>
        <d v="1899-12-30T19:18:00"/>
        <d v="1899-12-30T18:49:00"/>
        <d v="1899-12-30T19:30:00"/>
        <d v="1899-12-30T18:23:00"/>
        <d v="1899-12-30T17:24:00"/>
        <d v="1899-12-30T16:41:00"/>
        <d v="1899-12-30T15:24:00"/>
        <d v="1899-12-30T20:17:00"/>
        <d v="1899-12-30T19:44:00"/>
      </sharedItems>
    </cacheField>
    <cacheField name="faixa_horaria" numFmtId="20">
      <sharedItems containsBlank="1" count="12">
        <s v="07h"/>
        <s v="08h"/>
        <s v="09h"/>
        <s v="10h"/>
        <s v="17h"/>
        <s v="16h"/>
        <s v="19h"/>
        <s v="18h"/>
        <s v="15h"/>
        <s v="20h"/>
        <s v="00h"/>
        <m/>
      </sharedItems>
    </cacheField>
    <cacheField name="bairro_origem" numFmtId="0">
      <sharedItems containsBlank="1"/>
    </cacheField>
    <cacheField name="bairro_destino" numFmtId="0">
      <sharedItems containsBlank="1"/>
    </cacheField>
    <cacheField name="valor_corrida" numFmtId="2">
      <sharedItems containsString="0" containsBlank="1" containsNumber="1" minValue="6.5" maxValue="42.1"/>
    </cacheField>
    <cacheField name="distância_km" numFmtId="2">
      <sharedItems containsString="0" containsBlank="1" containsNumber="1" minValue="0.5" maxValue="10.1"/>
    </cacheField>
    <cacheField name="faixa_distancia" numFmtId="0">
      <sharedItems containsBlank="1" count="4">
        <s v="Longa"/>
        <s v="Média"/>
        <s v="Curta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utor" refreshedDate="37257.108730671294" createdVersion="4" refreshedVersion="4" minRefreshableVersion="3" recordCount="589">
  <cacheSource type="worksheet">
    <worksheetSource ref="A1:J590" sheet="tabela_origem" r:id="rId2"/>
  </cacheSource>
  <cacheFields count="10">
    <cacheField name="data" numFmtId="14">
      <sharedItems containsSemiMixedTypes="0" containsNonDate="0" containsDate="1" containsString="0" minDate="2026-03-02T00:00:00" maxDate="2026-03-28T00:00:00"/>
    </cacheField>
    <cacheField name="periodo" numFmtId="0">
      <sharedItems count="2">
        <s v="manhã"/>
        <s v="tarde"/>
      </sharedItems>
    </cacheField>
    <cacheField name="horario" numFmtId="20">
      <sharedItems containsNonDate="0" containsDate="1" containsString="0" containsBlank="1" minDate="1899-12-30T07:22:00" maxDate="1899-12-30T20:17:00"/>
    </cacheField>
    <cacheField name="faixa_horaria" numFmtId="20">
      <sharedItems count="11">
        <s v="07h"/>
        <s v="08h"/>
        <s v="09h"/>
        <s v="10h"/>
        <s v="17h"/>
        <s v="16h"/>
        <s v="19h"/>
        <s v="18h"/>
        <s v="15h"/>
        <s v="20h"/>
        <s v="00h"/>
      </sharedItems>
    </cacheField>
    <cacheField name="bairro_origem" numFmtId="0">
      <sharedItems count="39">
        <s v="Guaíra"/>
        <s v="Cajuru"/>
        <s v="Juvevê"/>
        <s v="Boa Vista"/>
        <s v="Ahú"/>
        <s v="Centro"/>
        <s v="São Francisco"/>
        <s v="Cabral"/>
        <s v="Fanny"/>
        <s v="Boqueirão"/>
        <s v="Guabirotuba"/>
        <s v="Água Verde"/>
        <s v="Parolin"/>
        <s v="Vila Izabel"/>
        <s v="Santa Quitéria"/>
        <s v="Batel"/>
        <s v="Lindóia"/>
        <s v="Portão"/>
        <s v="Capão Raso"/>
        <s v="Rebouças"/>
        <s v="Hauer"/>
        <s v="Novo Mundo"/>
        <s v="Campina do Siqueira"/>
        <s v="Campo Comprido"/>
        <s v="Cristo Rei"/>
        <s v="Jardim Botânico"/>
        <s v="Cidade Industrial de Curitiba"/>
        <s v="Fazendinha"/>
        <s v="Xaxim"/>
        <s v="Pinheirinho"/>
        <s v="Alto Boqueirão"/>
        <s v="Sítio Cercado"/>
        <s v="Prado Velho"/>
        <s v="Uberaba"/>
        <s v="Mercês"/>
        <s v="Alto da Glória"/>
        <s v="Seminário"/>
        <s v=""/>
        <s v="Bigorrílho"/>
      </sharedItems>
    </cacheField>
    <cacheField name="regional_origem" numFmtId="0">
      <sharedItems count="10">
        <s v="Portão"/>
        <s v="Cajuru"/>
        <s v="Matriz"/>
        <s v="Boa Vista"/>
        <s v="Boqueirão"/>
        <s v="Pinheirinho"/>
        <s v="Santa Felicidade"/>
        <s v="CIC"/>
        <s v="Bairro Novo"/>
        <e v="#N/A"/>
      </sharedItems>
    </cacheField>
    <cacheField name="bairro_destino" numFmtId="0">
      <sharedItems containsBlank="1"/>
    </cacheField>
    <cacheField name="valor_corrida" numFmtId="2">
      <sharedItems containsString="0" containsBlank="1" containsNumber="1" minValue="6.5" maxValue="42.1" count="112">
        <n v="35.299999999999997"/>
        <n v="21.9"/>
        <n v="14.14"/>
        <n v="12.2"/>
        <n v="9.8000000000000007"/>
        <n v="7.1"/>
        <n v="6.6"/>
        <n v="6.5"/>
        <n v="30.7"/>
        <n v="12.1"/>
        <n v="11.2"/>
        <n v="7.4"/>
        <n v="6.9"/>
        <n v="12.4"/>
        <n v="7.9"/>
        <n v="6.8"/>
        <n v="19.399999999999999"/>
        <n v="16.399999999999999"/>
        <n v="10.7"/>
        <n v="9.6999999999999993"/>
        <n v="7.3"/>
        <n v="17"/>
        <n v="12.5"/>
        <n v="9.1999999999999993"/>
        <n v="7.5"/>
        <n v="42.1"/>
        <n v="18.3"/>
        <n v="7.7"/>
        <n v="16.600000000000001"/>
        <n v="8.8000000000000007"/>
        <n v="10"/>
        <n v="9.3000000000000007"/>
        <n v="8.5"/>
        <n v="7.6"/>
        <n v="7"/>
        <n v="6.82"/>
        <n v="10.1"/>
        <n v="15.35"/>
        <n v="9.1"/>
        <n v="38.01"/>
        <n v="34.799999999999997"/>
        <n v="9.4"/>
        <n v="7.98"/>
        <n v="7.15"/>
        <n v="11.3"/>
        <n v="9.9"/>
        <n v="8.6"/>
        <n v="8.1999999999999993"/>
        <n v="11.9"/>
        <n v="11.1"/>
        <n v="9"/>
        <n v="8.6999999999999993"/>
        <n v="8.3000000000000007"/>
        <n v="7.59"/>
        <n v="16.7"/>
        <n v="6.7"/>
        <n v="13.1"/>
        <n v="11.97"/>
        <n v="10.4"/>
        <n v="8"/>
        <n v="7.69"/>
        <n v="17.2"/>
        <n v="13.2"/>
        <n v="7.2"/>
        <n v="10.5"/>
        <n v="8.1"/>
        <n v="14.7"/>
        <n v="14.39"/>
        <n v="12"/>
        <n v="11.5"/>
        <n v="8.1199999999999992"/>
        <n v="22.5"/>
        <n v="11.6"/>
        <n v="9.5"/>
        <n v="8.9"/>
        <n v="8.4"/>
        <n v="16.100000000000001"/>
        <n v="11.27"/>
        <n v="10.119999999999999"/>
        <n v="7.8"/>
        <n v="7.38"/>
        <n v="11.4"/>
        <n v="28.9"/>
        <n v="15.9"/>
        <n v="12.3"/>
        <n v="8.42"/>
        <n v="9.6"/>
        <n v="8.2200000000000006"/>
        <n v="7.72"/>
        <n v="10.9"/>
        <n v="13.6"/>
        <n v="12.6"/>
        <n v="10.199999999999999"/>
        <n v="7.56"/>
        <n v="12.7"/>
        <n v="29.6"/>
        <n v="15.7"/>
        <n v="7.35"/>
        <n v="21.8"/>
        <n v="7.88"/>
        <m/>
        <n v="10.3"/>
        <n v="7.47"/>
        <n v="7.24"/>
        <n v="22.28"/>
        <n v="17.100000000000001"/>
        <n v="11"/>
        <n v="10.06"/>
        <n v="13.4"/>
        <n v="14.4"/>
        <n v="14.3"/>
        <n v="7.19"/>
      </sharedItems>
    </cacheField>
    <cacheField name="distância_km" numFmtId="2">
      <sharedItems containsString="0" containsBlank="1" containsNumber="1" minValue="0.5" maxValue="10.1"/>
    </cacheField>
    <cacheField name="faixa_distancia" numFmtId="0">
      <sharedItems count="3">
        <s v="Longa"/>
        <s v="Média"/>
        <s v="Curt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90">
  <r>
    <d v="2026-03-02T00:00:00"/>
    <x v="0"/>
    <x v="0"/>
    <x v="0"/>
    <s v="Guaíra"/>
    <s v="Jardim das Américas"/>
    <n v="35.299999999999997"/>
    <n v="6.3"/>
    <x v="0"/>
  </r>
  <r>
    <d v="2026-03-02T00:00:00"/>
    <x v="0"/>
    <x v="1"/>
    <x v="1"/>
    <s v="Cajuru"/>
    <s v="Juvevê"/>
    <n v="21.9"/>
    <n v="8.6"/>
    <x v="0"/>
  </r>
  <r>
    <d v="2026-03-02T00:00:00"/>
    <x v="0"/>
    <x v="2"/>
    <x v="1"/>
    <s v="Juvevê"/>
    <s v="Santa Cândida"/>
    <n v="14.14"/>
    <n v="5.7"/>
    <x v="0"/>
  </r>
  <r>
    <d v="2026-03-02T00:00:00"/>
    <x v="0"/>
    <x v="3"/>
    <x v="2"/>
    <s v="Boa Vista"/>
    <s v="Cabral"/>
    <n v="12.2"/>
    <n v="4.4000000000000004"/>
    <x v="0"/>
  </r>
  <r>
    <d v="2026-03-02T00:00:00"/>
    <x v="0"/>
    <x v="4"/>
    <x v="2"/>
    <s v="Ahú"/>
    <s v="São Francisco"/>
    <n v="9.8000000000000007"/>
    <n v="3.6"/>
    <x v="1"/>
  </r>
  <r>
    <d v="2026-03-02T00:00:00"/>
    <x v="0"/>
    <x v="5"/>
    <x v="1"/>
    <s v="Cajuru"/>
    <s v="Cajuru"/>
    <n v="7.1"/>
    <n v="1.2"/>
    <x v="2"/>
  </r>
  <r>
    <d v="2026-03-02T00:00:00"/>
    <x v="0"/>
    <x v="6"/>
    <x v="2"/>
    <s v="Centro"/>
    <s v="Centro"/>
    <n v="6.6"/>
    <n v="1.3"/>
    <x v="2"/>
  </r>
  <r>
    <d v="2026-03-02T00:00:00"/>
    <x v="0"/>
    <x v="7"/>
    <x v="2"/>
    <s v="São Francisco"/>
    <s v="Centro"/>
    <n v="6.6"/>
    <n v="1.8"/>
    <x v="2"/>
  </r>
  <r>
    <d v="2026-03-02T00:00:00"/>
    <x v="0"/>
    <x v="8"/>
    <x v="2"/>
    <s v="Cabral"/>
    <s v="Ahú"/>
    <n v="6.5"/>
    <n v="1"/>
    <x v="2"/>
  </r>
  <r>
    <d v="2026-03-03T00:00:00"/>
    <x v="0"/>
    <x v="9"/>
    <x v="0"/>
    <s v="Fanny"/>
    <s v="Centro"/>
    <n v="30.7"/>
    <n v="8.1999999999999993"/>
    <x v="0"/>
  </r>
  <r>
    <d v="2026-03-03T00:00:00"/>
    <x v="0"/>
    <x v="10"/>
    <x v="1"/>
    <s v="Boqueirão"/>
    <s v="Parolin"/>
    <n v="12.1"/>
    <n v="4.8"/>
    <x v="0"/>
  </r>
  <r>
    <d v="2026-03-03T00:00:00"/>
    <x v="0"/>
    <x v="11"/>
    <x v="1"/>
    <s v="Centro"/>
    <s v="Guabirotuba"/>
    <n v="11.2"/>
    <n v="5.3"/>
    <x v="0"/>
  </r>
  <r>
    <d v="2026-03-03T00:00:00"/>
    <x v="0"/>
    <x v="12"/>
    <x v="1"/>
    <s v="Fanny"/>
    <s v="Hauer"/>
    <n v="7.4"/>
    <n v="1.9"/>
    <x v="2"/>
  </r>
  <r>
    <d v="2026-03-03T00:00:00"/>
    <x v="0"/>
    <x v="13"/>
    <x v="1"/>
    <s v="Guabirotuba"/>
    <s v="Hauer"/>
    <n v="6.9"/>
    <n v="2.1"/>
    <x v="1"/>
  </r>
  <r>
    <d v="2026-03-03T00:00:00"/>
    <x v="0"/>
    <x v="14"/>
    <x v="2"/>
    <s v="Água Verde"/>
    <s v="Rebouças"/>
    <n v="6.6"/>
    <n v="1.7"/>
    <x v="2"/>
  </r>
  <r>
    <d v="2026-03-03T00:00:00"/>
    <x v="0"/>
    <x v="15"/>
    <x v="2"/>
    <s v="Parolin"/>
    <s v="Parolin"/>
    <n v="6.5"/>
    <n v="0.5"/>
    <x v="2"/>
  </r>
  <r>
    <d v="2026-03-03T00:00:00"/>
    <x v="0"/>
    <x v="16"/>
    <x v="2"/>
    <s v="Parolin"/>
    <s v="Água Verde"/>
    <n v="6.5"/>
    <n v="3.1"/>
    <x v="1"/>
  </r>
  <r>
    <d v="2026-03-04T00:00:00"/>
    <x v="0"/>
    <x v="17"/>
    <x v="0"/>
    <s v="Vila Izabel"/>
    <s v="Seminário"/>
    <n v="12.4"/>
    <n v="2.2000000000000002"/>
    <x v="1"/>
  </r>
  <r>
    <d v="2026-03-04T00:00:00"/>
    <x v="0"/>
    <x v="18"/>
    <x v="0"/>
    <s v="Vila Izabel"/>
    <s v="Mercês"/>
    <n v="7.9"/>
    <n v="1.3"/>
    <x v="2"/>
  </r>
  <r>
    <d v="2026-03-04T00:00:00"/>
    <x v="0"/>
    <x v="19"/>
    <x v="1"/>
    <s v="Centro"/>
    <s v="Seminário"/>
    <n v="7.4"/>
    <n v="2"/>
    <x v="2"/>
  </r>
  <r>
    <d v="2026-03-04T00:00:00"/>
    <x v="0"/>
    <x v="20"/>
    <x v="1"/>
    <s v="Santa Quitéria"/>
    <s v="Seminário"/>
    <n v="6.9"/>
    <n v="1.9"/>
    <x v="2"/>
  </r>
  <r>
    <d v="2026-03-04T00:00:00"/>
    <x v="0"/>
    <x v="21"/>
    <x v="1"/>
    <s v="Água Verde"/>
    <s v="Batel"/>
    <n v="6.8"/>
    <n v="2.1"/>
    <x v="1"/>
  </r>
  <r>
    <d v="2026-03-04T00:00:00"/>
    <x v="0"/>
    <x v="22"/>
    <x v="1"/>
    <s v="Batel"/>
    <s v="Boqueirão"/>
    <n v="6.5"/>
    <n v="2.2999999999999998"/>
    <x v="1"/>
  </r>
  <r>
    <d v="2026-03-05T00:00:00"/>
    <x v="0"/>
    <x v="23"/>
    <x v="0"/>
    <s v="Centro"/>
    <s v="Água Verde"/>
    <n v="19.399999999999999"/>
    <n v="8.3000000000000007"/>
    <x v="0"/>
  </r>
  <r>
    <d v="2026-03-05T00:00:00"/>
    <x v="0"/>
    <x v="24"/>
    <x v="1"/>
    <s v="Boqueirão"/>
    <s v="Portão"/>
    <n v="16.399999999999999"/>
    <n v="9.6"/>
    <x v="0"/>
  </r>
  <r>
    <d v="2026-03-05T00:00:00"/>
    <x v="0"/>
    <x v="25"/>
    <x v="2"/>
    <s v="Vila Izabel"/>
    <s v="Vila Izabel"/>
    <n v="10.7"/>
    <n v="1.4"/>
    <x v="2"/>
  </r>
  <r>
    <d v="2026-03-05T00:00:00"/>
    <x v="0"/>
    <x v="7"/>
    <x v="2"/>
    <s v="Lindóia"/>
    <s v="Guaíra"/>
    <n v="9.6999999999999993"/>
    <n v="3.6"/>
    <x v="1"/>
  </r>
  <r>
    <d v="2026-03-05T00:00:00"/>
    <x v="0"/>
    <x v="16"/>
    <x v="2"/>
    <s v="Portão"/>
    <s v="Batel"/>
    <n v="7.3"/>
    <n v="2.1"/>
    <x v="1"/>
  </r>
  <r>
    <d v="2026-03-05T00:00:00"/>
    <x v="0"/>
    <x v="26"/>
    <x v="1"/>
    <s v="Vila Izabel"/>
    <s v="Vila Izabel"/>
    <n v="6.6"/>
    <n v="1.9"/>
    <x v="2"/>
  </r>
  <r>
    <d v="2026-03-05T00:00:00"/>
    <x v="0"/>
    <x v="27"/>
    <x v="1"/>
    <s v="Água Verde"/>
    <s v="Água Verde"/>
    <n v="6.5"/>
    <n v="1.4"/>
    <x v="2"/>
  </r>
  <r>
    <d v="2026-03-06T00:00:00"/>
    <x v="0"/>
    <x v="28"/>
    <x v="0"/>
    <s v="Lindóia"/>
    <s v="Vila Izabel"/>
    <n v="17"/>
    <n v="4.5999999999999996"/>
    <x v="0"/>
  </r>
  <r>
    <d v="2026-03-06T00:00:00"/>
    <x v="0"/>
    <x v="29"/>
    <x v="0"/>
    <s v="Água Verde"/>
    <s v="Portão"/>
    <n v="12.5"/>
    <n v="2.2000000000000002"/>
    <x v="1"/>
  </r>
  <r>
    <d v="2026-03-06T00:00:00"/>
    <x v="0"/>
    <x v="30"/>
    <x v="1"/>
    <s v="Água Verde"/>
    <s v="Parolin"/>
    <n v="10.7"/>
    <n v="4.2"/>
    <x v="0"/>
  </r>
  <r>
    <d v="2026-03-06T00:00:00"/>
    <x v="0"/>
    <x v="31"/>
    <x v="1"/>
    <s v="Portão"/>
    <s v="Portão"/>
    <n v="9.1999999999999993"/>
    <n v="4.3"/>
    <x v="0"/>
  </r>
  <r>
    <d v="2026-03-06T00:00:00"/>
    <x v="0"/>
    <x v="32"/>
    <x v="0"/>
    <s v="Água Verde"/>
    <s v="Água Verde"/>
    <n v="7.5"/>
    <n v="2.1"/>
    <x v="1"/>
  </r>
  <r>
    <d v="2026-03-06T00:00:00"/>
    <x v="0"/>
    <x v="33"/>
    <x v="1"/>
    <s v="Guaíra"/>
    <s v="Água Verde"/>
    <n v="7.3"/>
    <n v="3.8"/>
    <x v="1"/>
  </r>
  <r>
    <d v="2026-03-06T00:00:00"/>
    <x v="0"/>
    <x v="34"/>
    <x v="2"/>
    <s v="Água Verde"/>
    <s v="Guaíra"/>
    <n v="6.6"/>
    <n v="1.6"/>
    <x v="2"/>
  </r>
  <r>
    <d v="2026-03-06T00:00:00"/>
    <x v="0"/>
    <x v="35"/>
    <x v="1"/>
    <s v="Água Verde"/>
    <s v="Água Verde"/>
    <n v="6.5"/>
    <n v="1.9"/>
    <x v="2"/>
  </r>
  <r>
    <d v="2026-03-06T00:00:00"/>
    <x v="0"/>
    <x v="36"/>
    <x v="2"/>
    <s v="Água Verde"/>
    <s v="Vila Izabel"/>
    <n v="6.5"/>
    <n v="2.2000000000000002"/>
    <x v="1"/>
  </r>
  <r>
    <d v="2026-03-06T00:00:00"/>
    <x v="0"/>
    <x v="25"/>
    <x v="2"/>
    <s v="Água Verde"/>
    <s v="Água Verde"/>
    <n v="6.5"/>
    <n v="1.6"/>
    <x v="2"/>
  </r>
  <r>
    <d v="2026-03-06T00:00:00"/>
    <x v="0"/>
    <x v="8"/>
    <x v="2"/>
    <s v="Água Verde"/>
    <s v="Centro"/>
    <n v="6.5"/>
    <n v="1"/>
    <x v="2"/>
  </r>
  <r>
    <d v="2026-03-06T00:00:00"/>
    <x v="0"/>
    <x v="37"/>
    <x v="2"/>
    <s v="Água Verde"/>
    <s v="Centro"/>
    <n v="6.5"/>
    <n v="1.7"/>
    <x v="2"/>
  </r>
  <r>
    <d v="2026-03-09T00:00:00"/>
    <x v="0"/>
    <x v="38"/>
    <x v="0"/>
    <s v="Capão Raso"/>
    <s v="Novo Mundo"/>
    <n v="42.1"/>
    <n v="10.1"/>
    <x v="0"/>
  </r>
  <r>
    <d v="2026-03-09T00:00:00"/>
    <x v="0"/>
    <x v="17"/>
    <x v="0"/>
    <s v="Capão Raso"/>
    <s v="Centro"/>
    <n v="18.3"/>
    <n v="1.3"/>
    <x v="2"/>
  </r>
  <r>
    <d v="2026-03-09T00:00:00"/>
    <x v="0"/>
    <x v="39"/>
    <x v="2"/>
    <s v="Rebouças"/>
    <s v="Centro"/>
    <n v="7.7"/>
    <n v="2.4"/>
    <x v="1"/>
  </r>
  <r>
    <d v="2026-03-09T00:00:00"/>
    <x v="0"/>
    <x v="12"/>
    <x v="1"/>
    <s v="Centro"/>
    <s v="Água Verde"/>
    <n v="6.6"/>
    <n v="2.2999999999999998"/>
    <x v="1"/>
  </r>
  <r>
    <d v="2026-03-09T00:00:00"/>
    <x v="0"/>
    <x v="40"/>
    <x v="3"/>
    <s v="Água Verde"/>
    <s v="Centro"/>
    <n v="6.5"/>
    <n v="2.5"/>
    <x v="1"/>
  </r>
  <r>
    <d v="2026-03-09T00:00:00"/>
    <x v="0"/>
    <x v="41"/>
    <x v="1"/>
    <s v="Centro"/>
    <s v="Fanny"/>
    <n v="6.5"/>
    <n v="2.2999999999999998"/>
    <x v="1"/>
  </r>
  <r>
    <d v="2026-03-10T00:00:00"/>
    <x v="0"/>
    <x v="42"/>
    <x v="2"/>
    <s v="Boqueirão"/>
    <s v="Hauer"/>
    <n v="16.600000000000001"/>
    <n v="8.3000000000000007"/>
    <x v="0"/>
  </r>
  <r>
    <d v="2026-03-10T00:00:00"/>
    <x v="0"/>
    <x v="24"/>
    <x v="1"/>
    <s v="Hauer"/>
    <s v="Boqueirão"/>
    <n v="8.8000000000000007"/>
    <n v="8.8000000000000007"/>
    <x v="0"/>
  </r>
  <r>
    <d v="2026-03-10T00:00:00"/>
    <x v="0"/>
    <x v="43"/>
    <x v="2"/>
    <s v="Boqueirão"/>
    <s v="Boqueirão"/>
    <n v="7.7"/>
    <n v="3.7"/>
    <x v="1"/>
  </r>
  <r>
    <d v="2026-03-10T00:00:00"/>
    <x v="0"/>
    <x v="44"/>
    <x v="0"/>
    <s v="Hauer"/>
    <s v="Hauer"/>
    <n v="6.8"/>
    <n v="1.7"/>
    <x v="2"/>
  </r>
  <r>
    <d v="2026-03-10T00:00:00"/>
    <x v="0"/>
    <x v="45"/>
    <x v="0"/>
    <s v="Boqueirão"/>
    <s v="Hauer"/>
    <n v="6.6"/>
    <n v="1.6"/>
    <x v="2"/>
  </r>
  <r>
    <d v="2026-03-10T00:00:00"/>
    <x v="0"/>
    <x v="27"/>
    <x v="1"/>
    <s v="Hauer"/>
    <s v="Boqueirão"/>
    <n v="6.5"/>
    <n v="3"/>
    <x v="1"/>
  </r>
  <r>
    <d v="2026-03-10T00:00:00"/>
    <x v="0"/>
    <x v="46"/>
    <x v="2"/>
    <s v="Hauer"/>
    <s v="Água Verde"/>
    <n v="6.5"/>
    <n v="1.9"/>
    <x v="2"/>
  </r>
  <r>
    <d v="2026-03-11T00:00:00"/>
    <x v="0"/>
    <x v="47"/>
    <x v="2"/>
    <s v="Guaíra"/>
    <s v="Parolin"/>
    <n v="10"/>
    <n v="4.5"/>
    <x v="0"/>
  </r>
  <r>
    <d v="2026-03-11T00:00:00"/>
    <x v="0"/>
    <x v="48"/>
    <x v="0"/>
    <s v="Parolin"/>
    <s v="Seminário"/>
    <n v="9.3000000000000007"/>
    <n v="2"/>
    <x v="2"/>
  </r>
  <r>
    <d v="2026-03-11T00:00:00"/>
    <x v="0"/>
    <x v="49"/>
    <x v="2"/>
    <s v="Vila Izabel"/>
    <s v="Hauer"/>
    <n v="8.5"/>
    <n v="2.6"/>
    <x v="1"/>
  </r>
  <r>
    <d v="2026-03-11T00:00:00"/>
    <x v="0"/>
    <x v="31"/>
    <x v="1"/>
    <s v="Guaíra"/>
    <s v="Parolin"/>
    <n v="7.6"/>
    <n v="3.1"/>
    <x v="1"/>
  </r>
  <r>
    <d v="2026-03-11T00:00:00"/>
    <x v="0"/>
    <x v="50"/>
    <x v="1"/>
    <s v="Guaíra"/>
    <s v="Guaíra"/>
    <n v="7"/>
    <n v="0.9"/>
    <x v="2"/>
  </r>
  <r>
    <d v="2026-03-11T00:00:00"/>
    <x v="0"/>
    <x v="0"/>
    <x v="0"/>
    <s v="Novo Mundo"/>
    <s v="Mossunguê"/>
    <n v="6.82"/>
    <n v="3.6"/>
    <x v="1"/>
  </r>
  <r>
    <d v="2026-03-11T00:00:00"/>
    <x v="0"/>
    <x v="51"/>
    <x v="2"/>
    <s v="Campina do Siqueira"/>
    <s v="Cidade Industrial de Curitiba"/>
    <n v="6.5"/>
    <n v="1.9"/>
    <x v="2"/>
  </r>
  <r>
    <d v="2026-03-11T00:00:00"/>
    <x v="0"/>
    <x v="52"/>
    <x v="2"/>
    <s v="Campo Comprido"/>
    <s v="Parolin"/>
    <n v="6.5"/>
    <n v="1.8"/>
    <x v="2"/>
  </r>
  <r>
    <d v="2026-03-11T00:00:00"/>
    <x v="0"/>
    <x v="53"/>
    <x v="1"/>
    <s v="Guaíra"/>
    <s v="Guaíra"/>
    <n v="6.5"/>
    <n v="1.3"/>
    <x v="2"/>
  </r>
  <r>
    <d v="2026-03-11T00:00:00"/>
    <x v="0"/>
    <x v="54"/>
    <x v="1"/>
    <s v="Guaíra"/>
    <s v="Hauer"/>
    <n v="6.5"/>
    <n v="0.9"/>
    <x v="2"/>
  </r>
  <r>
    <d v="2026-03-11T00:00:00"/>
    <x v="0"/>
    <x v="41"/>
    <x v="1"/>
    <s v="Hauer"/>
    <s v="Hauer"/>
    <n v="6.5"/>
    <n v="1.9"/>
    <x v="2"/>
  </r>
  <r>
    <d v="2026-03-11T00:00:00"/>
    <x v="0"/>
    <x v="19"/>
    <x v="1"/>
    <s v="Hauer"/>
    <s v="Água Verde"/>
    <n v="6.5"/>
    <n v="1.9"/>
    <x v="2"/>
  </r>
  <r>
    <d v="2026-03-12T00:00:00"/>
    <x v="0"/>
    <x v="55"/>
    <x v="0"/>
    <s v="Novo Mundo"/>
    <s v="Novo Mundo"/>
    <n v="18.3"/>
    <n v="3.1"/>
    <x v="1"/>
  </r>
  <r>
    <d v="2026-03-12T00:00:00"/>
    <x v="0"/>
    <x v="44"/>
    <x v="0"/>
    <s v="Capão Raso"/>
    <s v="Vila Izabel"/>
    <n v="10.1"/>
    <n v="2.1"/>
    <x v="1"/>
  </r>
  <r>
    <d v="2026-03-12T00:00:00"/>
    <x v="0"/>
    <x v="56"/>
    <x v="0"/>
    <s v="Guaíra"/>
    <s v="Água Verde"/>
    <n v="10"/>
    <n v="2.4"/>
    <x v="1"/>
  </r>
  <r>
    <d v="2026-03-12T00:00:00"/>
    <x v="0"/>
    <x v="57"/>
    <x v="1"/>
    <s v="Água Verde"/>
    <s v="Água Verde"/>
    <n v="6.9"/>
    <n v="1.9"/>
    <x v="2"/>
  </r>
  <r>
    <d v="2026-03-12T00:00:00"/>
    <x v="0"/>
    <x v="40"/>
    <x v="3"/>
    <s v="Água Verde"/>
    <s v="Novo Mundo"/>
    <n v="6.9"/>
    <n v="2.2999999999999998"/>
    <x v="1"/>
  </r>
  <r>
    <d v="2026-03-12T00:00:00"/>
    <x v="0"/>
    <x v="58"/>
    <x v="2"/>
    <s v="Guaíra"/>
    <s v="Água Verde"/>
    <n v="6.9"/>
    <n v="1.6"/>
    <x v="2"/>
  </r>
  <r>
    <d v="2026-03-12T00:00:00"/>
    <x v="0"/>
    <x v="59"/>
    <x v="1"/>
    <s v="Água Verde"/>
    <s v="Lindóia"/>
    <n v="6.6"/>
    <n v="1.8"/>
    <x v="2"/>
  </r>
  <r>
    <d v="2026-03-12T00:00:00"/>
    <x v="0"/>
    <x v="60"/>
    <x v="1"/>
    <s v="Água Verde"/>
    <s v="Água Verde"/>
    <n v="6.6"/>
    <n v="2.5"/>
    <x v="1"/>
  </r>
  <r>
    <d v="2026-03-12T00:00:00"/>
    <x v="0"/>
    <x v="61"/>
    <x v="2"/>
    <s v="Guaíra"/>
    <s v="Vila Izabel"/>
    <n v="6.6"/>
    <n v="2.1"/>
    <x v="1"/>
  </r>
  <r>
    <d v="2026-03-12T00:00:00"/>
    <x v="0"/>
    <x v="62"/>
    <x v="1"/>
    <s v="Água Verde"/>
    <s v="Água Verde"/>
    <n v="6.5"/>
    <n v="1.8"/>
    <x v="2"/>
  </r>
  <r>
    <d v="2026-03-12T00:00:00"/>
    <x v="0"/>
    <x v="39"/>
    <x v="2"/>
    <s v="Água Verde"/>
    <s v="Guaíra"/>
    <n v="6.5"/>
    <n v="1.4"/>
    <x v="2"/>
  </r>
  <r>
    <d v="2026-03-12T00:00:00"/>
    <x v="0"/>
    <x v="25"/>
    <x v="2"/>
    <s v="Água Verde"/>
    <s v="Portão"/>
    <n v="6.5"/>
    <n v="2.1"/>
    <x v="1"/>
  </r>
  <r>
    <d v="2026-03-12T00:00:00"/>
    <x v="0"/>
    <x v="10"/>
    <x v="1"/>
    <s v="Fanny"/>
    <s v="Guaíra"/>
    <n v="6.5"/>
    <n v="2.4"/>
    <x v="1"/>
  </r>
  <r>
    <d v="2026-03-12T00:00:00"/>
    <x v="0"/>
    <x v="63"/>
    <x v="2"/>
    <s v="Portão"/>
    <s v="Água Verde"/>
    <n v="6.5"/>
    <n v="2"/>
    <x v="2"/>
  </r>
  <r>
    <d v="2026-03-13T00:00:00"/>
    <x v="0"/>
    <x v="64"/>
    <x v="0"/>
    <s v="Novo Mundo"/>
    <s v="Hauer"/>
    <n v="15.35"/>
    <n v="4.2"/>
    <x v="0"/>
  </r>
  <r>
    <d v="2026-03-13T00:00:00"/>
    <x v="0"/>
    <x v="29"/>
    <x v="0"/>
    <s v="Guaíra"/>
    <s v="Alto da XV"/>
    <n v="12.1"/>
    <n v="3.1"/>
    <x v="1"/>
  </r>
  <r>
    <d v="2026-03-13T00:00:00"/>
    <x v="0"/>
    <x v="65"/>
    <x v="2"/>
    <s v="São Francisco"/>
    <s v="Alto da Glória"/>
    <n v="9.1"/>
    <n v="2.8"/>
    <x v="1"/>
  </r>
  <r>
    <d v="2026-03-13T00:00:00"/>
    <x v="0"/>
    <x v="66"/>
    <x v="1"/>
    <s v="Centro"/>
    <s v="Cristo Rei"/>
    <n v="7.9"/>
    <n v="3.1"/>
    <x v="1"/>
  </r>
  <r>
    <d v="2026-03-13T00:00:00"/>
    <x v="0"/>
    <x v="47"/>
    <x v="2"/>
    <s v="Cristo Rei"/>
    <s v="Rebouças"/>
    <n v="6.8"/>
    <n v="1.4"/>
    <x v="2"/>
  </r>
  <r>
    <d v="2026-03-13T00:00:00"/>
    <x v="0"/>
    <x v="31"/>
    <x v="1"/>
    <s v="Água Verde"/>
    <s v="São Francisco"/>
    <n v="6.6"/>
    <n v="2.8"/>
    <x v="1"/>
  </r>
  <r>
    <d v="2026-03-13T00:00:00"/>
    <x v="0"/>
    <x v="67"/>
    <x v="2"/>
    <s v="Centro"/>
    <s v="Alto da XV"/>
    <n v="6.6"/>
    <n v="1.8"/>
    <x v="2"/>
  </r>
  <r>
    <d v="2026-03-13T00:00:00"/>
    <x v="0"/>
    <x v="51"/>
    <x v="2"/>
    <s v="Centro"/>
    <s v="Água Verde"/>
    <n v="6.5"/>
    <n v="2.2000000000000002"/>
    <x v="1"/>
  </r>
  <r>
    <d v="2026-03-13T00:00:00"/>
    <x v="0"/>
    <x v="68"/>
    <x v="1"/>
    <s v="Guaíra"/>
    <s v="Centro"/>
    <n v="6.5"/>
    <n v="2.8"/>
    <x v="1"/>
  </r>
  <r>
    <d v="2026-03-13T00:00:00"/>
    <x v="0"/>
    <x v="58"/>
    <x v="2"/>
    <s v="Juvevê"/>
    <s v="Centro"/>
    <n v="6.5"/>
    <n v="2.1"/>
    <x v="1"/>
  </r>
  <r>
    <d v="2026-03-13T00:00:00"/>
    <x v="0"/>
    <x v="69"/>
    <x v="1"/>
    <s v="Rebouças"/>
    <s v="Jardim das Américas"/>
    <n v="6.5"/>
    <n v="2.2000000000000002"/>
    <x v="1"/>
  </r>
  <r>
    <d v="2026-03-16T00:00:00"/>
    <x v="0"/>
    <x v="0"/>
    <x v="0"/>
    <s v="Guaíra"/>
    <s v="Batel"/>
    <n v="38.01"/>
    <n v="6.2"/>
    <x v="0"/>
  </r>
  <r>
    <d v="2026-03-16T00:00:00"/>
    <x v="0"/>
    <x v="70"/>
    <x v="0"/>
    <s v="Cajuru"/>
    <s v="Cristo Rei"/>
    <n v="34.799999999999997"/>
    <n v="8"/>
    <x v="0"/>
  </r>
  <r>
    <d v="2026-03-16T00:00:00"/>
    <x v="0"/>
    <x v="19"/>
    <x v="1"/>
    <s v="Centro"/>
    <s v="Água Verde"/>
    <n v="9.8000000000000007"/>
    <n v="4.4000000000000004"/>
    <x v="0"/>
  </r>
  <r>
    <d v="2026-03-16T00:00:00"/>
    <x v="0"/>
    <x v="58"/>
    <x v="2"/>
    <s v="Jardim Botânico"/>
    <s v="Portão"/>
    <n v="9.4"/>
    <n v="3.9"/>
    <x v="1"/>
  </r>
  <r>
    <d v="2026-03-16T00:00:00"/>
    <x v="0"/>
    <x v="71"/>
    <x v="2"/>
    <s v="Água Verde"/>
    <s v="Jardim Botânico"/>
    <n v="7.98"/>
    <n v="2.7"/>
    <x v="1"/>
  </r>
  <r>
    <d v="2026-03-16T00:00:00"/>
    <x v="0"/>
    <x v="72"/>
    <x v="2"/>
    <s v="Cristo Rei"/>
    <s v="Centro"/>
    <n v="7.15"/>
    <n v="2"/>
    <x v="2"/>
  </r>
  <r>
    <d v="2026-03-16T00:00:00"/>
    <x v="0"/>
    <x v="33"/>
    <x v="1"/>
    <s v="Centro"/>
    <s v="Novo Mundo"/>
    <n v="6.6"/>
    <n v="1.3"/>
    <x v="2"/>
  </r>
  <r>
    <d v="2026-03-17T00:00:00"/>
    <x v="0"/>
    <x v="73"/>
    <x v="0"/>
    <s v="Novo Mundo"/>
    <s v="Cidade Industrial de Curitiba"/>
    <n v="11.3"/>
    <n v="2.8"/>
    <x v="1"/>
  </r>
  <r>
    <d v="2026-03-17T00:00:00"/>
    <x v="0"/>
    <x v="74"/>
    <x v="0"/>
    <s v="Novo Mundo"/>
    <s v="Guaíra"/>
    <n v="9.9"/>
    <n v="2.5"/>
    <x v="1"/>
  </r>
  <r>
    <d v="2026-03-17T00:00:00"/>
    <x v="0"/>
    <x v="14"/>
    <x v="2"/>
    <s v="Portão"/>
    <s v="Água Verde"/>
    <n v="8.6"/>
    <n v="3.9"/>
    <x v="1"/>
  </r>
  <r>
    <d v="2026-03-17T00:00:00"/>
    <x v="0"/>
    <x v="75"/>
    <x v="1"/>
    <s v="Portão"/>
    <s v="Água Verde"/>
    <n v="8.1999999999999993"/>
    <n v="2.5"/>
    <x v="1"/>
  </r>
  <r>
    <d v="2026-03-17T00:00:00"/>
    <x v="0"/>
    <x v="76"/>
    <x v="1"/>
    <s v="Portão"/>
    <s v="Água Verde"/>
    <n v="7.5"/>
    <n v="2.7"/>
    <x v="1"/>
  </r>
  <r>
    <d v="2026-03-17T00:00:00"/>
    <x v="0"/>
    <x v="66"/>
    <x v="1"/>
    <s v="Guaíra"/>
    <s v="Portão"/>
    <n v="6.8"/>
    <n v="2.7"/>
    <x v="1"/>
  </r>
  <r>
    <d v="2026-03-17T00:00:00"/>
    <x v="0"/>
    <x v="77"/>
    <x v="2"/>
    <s v="Água Verde"/>
    <s v="Água Verde"/>
    <n v="6.6"/>
    <n v="1.6"/>
    <x v="2"/>
  </r>
  <r>
    <d v="2026-03-17T00:00:00"/>
    <x v="0"/>
    <x v="78"/>
    <x v="1"/>
    <s v="Água Verde"/>
    <s v="Água Verde"/>
    <n v="6.5"/>
    <n v="1.8"/>
    <x v="2"/>
  </r>
  <r>
    <d v="2026-03-17T00:00:00"/>
    <x v="0"/>
    <x v="79"/>
    <x v="2"/>
    <s v="Água Verde"/>
    <s v="Fazendinha"/>
    <n v="6.5"/>
    <n v="2.7"/>
    <x v="1"/>
  </r>
  <r>
    <d v="2026-03-17T00:00:00"/>
    <x v="0"/>
    <x v="5"/>
    <x v="1"/>
    <s v="Cidade Industrial de Curitiba"/>
    <s v="Rebouças"/>
    <n v="6.5"/>
    <n v="2.6"/>
    <x v="1"/>
  </r>
  <r>
    <d v="2026-03-17T00:00:00"/>
    <x v="0"/>
    <x v="80"/>
    <x v="2"/>
    <s v="Guaíra"/>
    <s v="Parolin"/>
    <n v="6.5"/>
    <n v="0.7"/>
    <x v="2"/>
  </r>
  <r>
    <d v="2026-03-18T00:00:00"/>
    <x v="0"/>
    <x v="74"/>
    <x v="0"/>
    <s v="Fanny"/>
    <s v="Novo Mundo"/>
    <n v="11.9"/>
    <n v="3.4"/>
    <x v="1"/>
  </r>
  <r>
    <d v="2026-03-18T00:00:00"/>
    <x v="0"/>
    <x v="44"/>
    <x v="0"/>
    <s v="Novo Mundo"/>
    <s v="Novo Mundo"/>
    <n v="11.2"/>
    <n v="0.9"/>
    <x v="2"/>
  </r>
  <r>
    <d v="2026-03-18T00:00:00"/>
    <x v="0"/>
    <x v="81"/>
    <x v="1"/>
    <s v="Água Verde"/>
    <s v="Novo Mundo"/>
    <n v="11.1"/>
    <n v="6.5"/>
    <x v="0"/>
  </r>
  <r>
    <d v="2026-03-18T00:00:00"/>
    <x v="0"/>
    <x v="82"/>
    <x v="0"/>
    <s v="Novo Mundo"/>
    <s v="Portão"/>
    <n v="9"/>
    <n v="0.9"/>
    <x v="2"/>
  </r>
  <r>
    <d v="2026-03-18T00:00:00"/>
    <x v="0"/>
    <x v="78"/>
    <x v="1"/>
    <s v="Fazendinha"/>
    <s v="Portão"/>
    <n v="8.6999999999999993"/>
    <n v="3.7"/>
    <x v="1"/>
  </r>
  <r>
    <d v="2026-03-18T00:00:00"/>
    <x v="0"/>
    <x v="40"/>
    <x v="3"/>
    <s v="Capão Raso"/>
    <s v="Portão"/>
    <n v="8.3000000000000007"/>
    <n v="3.9"/>
    <x v="1"/>
  </r>
  <r>
    <d v="2026-03-18T00:00:00"/>
    <x v="0"/>
    <x v="36"/>
    <x v="2"/>
    <s v="Novo Mundo"/>
    <s v="Água Verde"/>
    <n v="7.6"/>
    <n v="2.8"/>
    <x v="1"/>
  </r>
  <r>
    <d v="2026-03-18T00:00:00"/>
    <x v="0"/>
    <x v="83"/>
    <x v="1"/>
    <s v="Parolin"/>
    <s v="Capão Raso"/>
    <n v="7.1"/>
    <n v="4.3"/>
    <x v="0"/>
  </r>
  <r>
    <d v="2026-03-18T00:00:00"/>
    <x v="0"/>
    <x v="77"/>
    <x v="2"/>
    <s v="Novo Mundo"/>
    <s v="Fazendinha"/>
    <n v="6.9"/>
    <n v="3"/>
    <x v="1"/>
  </r>
  <r>
    <d v="2026-03-18T00:00:00"/>
    <x v="0"/>
    <x v="84"/>
    <x v="1"/>
    <s v="Novo Mundo"/>
    <s v="Novo Mundo"/>
    <n v="6.6"/>
    <n v="2.6"/>
    <x v="1"/>
  </r>
  <r>
    <d v="2026-03-18T00:00:00"/>
    <x v="0"/>
    <x v="80"/>
    <x v="2"/>
    <s v="Rebouças"/>
    <s v="Água Verde"/>
    <n v="6.6"/>
    <n v="1.7"/>
    <x v="2"/>
  </r>
  <r>
    <d v="2026-03-18T00:00:00"/>
    <x v="0"/>
    <x v="85"/>
    <x v="1"/>
    <s v="Água Verde"/>
    <s v="Novo Mundo"/>
    <n v="6.5"/>
    <n v="1.5"/>
    <x v="2"/>
  </r>
  <r>
    <d v="2026-03-18T00:00:00"/>
    <x v="0"/>
    <x v="86"/>
    <x v="2"/>
    <s v="Novo Mundo"/>
    <s v="Hauer"/>
    <n v="6.5"/>
    <n v="1.6"/>
    <x v="2"/>
  </r>
  <r>
    <d v="2026-03-19T00:00:00"/>
    <x v="0"/>
    <x v="16"/>
    <x v="2"/>
    <s v="Xaxim"/>
    <s v="Boqueirão"/>
    <n v="12.5"/>
    <n v="5"/>
    <x v="0"/>
  </r>
  <r>
    <d v="2026-03-19T00:00:00"/>
    <x v="0"/>
    <x v="87"/>
    <x v="1"/>
    <s v="Pinheirinho"/>
    <s v="Xaxim"/>
    <n v="8.6999999999999993"/>
    <n v="3.8"/>
    <x v="1"/>
  </r>
  <r>
    <d v="2026-03-19T00:00:00"/>
    <x v="0"/>
    <x v="88"/>
    <x v="0"/>
    <s v="Xaxim"/>
    <s v="Xaxim"/>
    <n v="8.6999999999999993"/>
    <n v="1.1000000000000001"/>
    <x v="2"/>
  </r>
  <r>
    <d v="2026-03-19T00:00:00"/>
    <x v="0"/>
    <x v="89"/>
    <x v="0"/>
    <s v="Capão Raso"/>
    <s v="Xaxim"/>
    <n v="8.5"/>
    <n v="2.2999999999999998"/>
    <x v="1"/>
  </r>
  <r>
    <d v="2026-03-19T00:00:00"/>
    <x v="0"/>
    <x v="82"/>
    <x v="0"/>
    <s v="Xaxim"/>
    <s v="Xaxim"/>
    <n v="8.3000000000000007"/>
    <n v="1.7"/>
    <x v="2"/>
  </r>
  <r>
    <d v="2026-03-19T00:00:00"/>
    <x v="0"/>
    <x v="90"/>
    <x v="1"/>
    <s v="Pinheirinho"/>
    <s v="Sítio Cercado"/>
    <n v="8.1999999999999993"/>
    <n v="0.8"/>
    <x v="2"/>
  </r>
  <r>
    <d v="2026-03-19T00:00:00"/>
    <x v="0"/>
    <x v="91"/>
    <x v="1"/>
    <s v="Pinheirinho"/>
    <s v="Hauer"/>
    <n v="7.59"/>
    <n v="1.9"/>
    <x v="2"/>
  </r>
  <r>
    <d v="2026-03-19T00:00:00"/>
    <x v="0"/>
    <x v="92"/>
    <x v="1"/>
    <s v="Alto Boqueirão"/>
    <s v="Xaxim"/>
    <n v="7.3"/>
    <n v="3.3"/>
    <x v="1"/>
  </r>
  <r>
    <d v="2026-03-19T00:00:00"/>
    <x v="0"/>
    <x v="93"/>
    <x v="1"/>
    <s v="Xaxim"/>
    <s v="Xaxim"/>
    <n v="6.9"/>
    <n v="2.8"/>
    <x v="1"/>
  </r>
  <r>
    <d v="2026-03-19T00:00:00"/>
    <x v="0"/>
    <x v="94"/>
    <x v="1"/>
    <s v="Sítio Cercado"/>
    <s v="Xaxim"/>
    <n v="6.6"/>
    <n v="1.8"/>
    <x v="2"/>
  </r>
  <r>
    <d v="2026-03-19T00:00:00"/>
    <x v="0"/>
    <x v="95"/>
    <x v="2"/>
    <s v="Boqueirão"/>
    <s v="Hauer"/>
    <n v="6.5"/>
    <n v="3.2"/>
    <x v="1"/>
  </r>
  <r>
    <d v="2026-03-19T00:00:00"/>
    <x v="0"/>
    <x v="96"/>
    <x v="2"/>
    <s v="Boqueirão"/>
    <s v="Xaxim"/>
    <n v="6.5"/>
    <n v="2.8"/>
    <x v="1"/>
  </r>
  <r>
    <d v="2026-03-19T00:00:00"/>
    <x v="0"/>
    <x v="97"/>
    <x v="2"/>
    <s v="Hauer"/>
    <s v="Hauer"/>
    <n v="6.5"/>
    <n v="2.7"/>
    <x v="1"/>
  </r>
  <r>
    <d v="2026-03-19T00:00:00"/>
    <x v="0"/>
    <x v="40"/>
    <x v="3"/>
    <s v="Vila Izabel"/>
    <s v="Lindóia"/>
    <n v="6.5"/>
    <n v="1.5"/>
    <x v="2"/>
  </r>
  <r>
    <d v="2026-03-20T00:00:00"/>
    <x v="0"/>
    <x v="98"/>
    <x v="0"/>
    <s v="Lindóia"/>
    <s v="Portão"/>
    <n v="16.7"/>
    <n v="4.4000000000000004"/>
    <x v="0"/>
  </r>
  <r>
    <d v="2026-03-20T00:00:00"/>
    <x v="0"/>
    <x v="99"/>
    <x v="0"/>
    <s v="Novo Mundo"/>
    <s v="Água Verde"/>
    <n v="9.9"/>
    <n v="2.8"/>
    <x v="1"/>
  </r>
  <r>
    <d v="2026-03-20T00:00:00"/>
    <x v="0"/>
    <x v="100"/>
    <x v="1"/>
    <s v="Guaíra"/>
    <s v="Parolin"/>
    <n v="7.6"/>
    <n v="3.6"/>
    <x v="1"/>
  </r>
  <r>
    <d v="2026-03-20T00:00:00"/>
    <x v="0"/>
    <x v="101"/>
    <x v="1"/>
    <s v="Água Verde"/>
    <s v="Água Verde"/>
    <n v="7.3"/>
    <n v="2.1"/>
    <x v="1"/>
  </r>
  <r>
    <d v="2026-03-20T00:00:00"/>
    <x v="0"/>
    <x v="7"/>
    <x v="2"/>
    <s v="Água Verde"/>
    <s v="Água Verde"/>
    <n v="6.8"/>
    <n v="3"/>
    <x v="1"/>
  </r>
  <r>
    <d v="2026-03-20T00:00:00"/>
    <x v="0"/>
    <x v="58"/>
    <x v="2"/>
    <s v="Água Verde"/>
    <s v="Água Verde"/>
    <n v="6.7"/>
    <n v="2.4"/>
    <x v="1"/>
  </r>
  <r>
    <d v="2026-03-20T00:00:00"/>
    <x v="0"/>
    <x v="21"/>
    <x v="1"/>
    <s v="Portão"/>
    <s v="Rebouças"/>
    <n v="6.6"/>
    <n v="2.4"/>
    <x v="1"/>
  </r>
  <r>
    <d v="2026-03-20T00:00:00"/>
    <x v="0"/>
    <x v="33"/>
    <x v="1"/>
    <s v="Água Verde"/>
    <s v="Água Verde"/>
    <n v="6.5"/>
    <n v="2.2000000000000002"/>
    <x v="1"/>
  </r>
  <r>
    <d v="2026-03-20T00:00:00"/>
    <x v="0"/>
    <x v="102"/>
    <x v="2"/>
    <s v="Água Verde"/>
    <s v="Guaíra"/>
    <n v="6.5"/>
    <n v="2.2000000000000002"/>
    <x v="1"/>
  </r>
  <r>
    <d v="2026-03-20T00:00:00"/>
    <x v="0"/>
    <x v="103"/>
    <x v="2"/>
    <s v="Água Verde"/>
    <s v="Guaíra"/>
    <n v="6.5"/>
    <n v="1.8"/>
    <x v="2"/>
  </r>
  <r>
    <d v="2026-03-20T00:00:00"/>
    <x v="0"/>
    <x v="71"/>
    <x v="2"/>
    <s v="Guaíra"/>
    <s v="Guaíra"/>
    <n v="6.5"/>
    <n v="1.1000000000000001"/>
    <x v="2"/>
  </r>
  <r>
    <d v="2026-03-20T00:00:00"/>
    <x v="0"/>
    <x v="91"/>
    <x v="1"/>
    <s v="Portão"/>
    <s v="Água Verde"/>
    <n v="6.5"/>
    <n v="2.6"/>
    <x v="1"/>
  </r>
  <r>
    <d v="2026-03-20T00:00:00"/>
    <x v="0"/>
    <x v="65"/>
    <x v="2"/>
    <s v="Rebouças"/>
    <s v="Novo Mundo"/>
    <n v="6.5"/>
    <n v="1.6"/>
    <x v="2"/>
  </r>
  <r>
    <d v="2026-03-23T00:00:00"/>
    <x v="0"/>
    <x v="104"/>
    <x v="0"/>
    <s v="Lindóia"/>
    <s v="Parolin"/>
    <n v="13.1"/>
    <n v="2.1"/>
    <x v="1"/>
  </r>
  <r>
    <d v="2026-03-23T00:00:00"/>
    <x v="0"/>
    <x v="105"/>
    <x v="0"/>
    <s v="Novo Mundo"/>
    <s v="Novo Mundo"/>
    <n v="12.5"/>
    <n v="2.9"/>
    <x v="1"/>
  </r>
  <r>
    <d v="2026-03-23T00:00:00"/>
    <x v="0"/>
    <x v="98"/>
    <x v="0"/>
    <s v="Parolin"/>
    <s v="Novo Mundo"/>
    <n v="9.6999999999999993"/>
    <n v="2.8"/>
    <x v="1"/>
  </r>
  <r>
    <d v="2026-03-23T00:00:00"/>
    <x v="0"/>
    <x v="106"/>
    <x v="1"/>
    <s v="Capão Raso"/>
    <s v="Água Verde"/>
    <n v="7.7"/>
    <n v="1.4"/>
    <x v="2"/>
  </r>
  <r>
    <d v="2026-03-23T00:00:00"/>
    <x v="0"/>
    <x v="84"/>
    <x v="1"/>
    <s v="Guaíra"/>
    <s v="Água Verde"/>
    <n v="7.6"/>
    <n v="2.7"/>
    <x v="1"/>
  </r>
  <r>
    <d v="2026-03-23T00:00:00"/>
    <x v="0"/>
    <x v="107"/>
    <x v="1"/>
    <s v="Centro"/>
    <s v="Água Verde"/>
    <n v="7.4"/>
    <n v="0.9"/>
    <x v="2"/>
  </r>
  <r>
    <d v="2026-03-23T00:00:00"/>
    <x v="0"/>
    <x v="85"/>
    <x v="1"/>
    <s v="Portão"/>
    <s v="Água Verde"/>
    <n v="6.9"/>
    <n v="2.7"/>
    <x v="1"/>
  </r>
  <r>
    <d v="2026-03-23T00:00:00"/>
    <x v="0"/>
    <x v="108"/>
    <x v="2"/>
    <s v="Água Verde"/>
    <s v="Água Verde"/>
    <n v="6.7"/>
    <n v="1.3"/>
    <x v="2"/>
  </r>
  <r>
    <d v="2026-03-23T00:00:00"/>
    <x v="0"/>
    <x v="39"/>
    <x v="2"/>
    <s v="Guaíra"/>
    <s v="Água Verde"/>
    <n v="6.6"/>
    <n v="2.7"/>
    <x v="1"/>
  </r>
  <r>
    <d v="2026-03-23T00:00:00"/>
    <x v="0"/>
    <x v="4"/>
    <x v="2"/>
    <s v="Água Verde"/>
    <s v="Água Verde"/>
    <n v="6.5"/>
    <n v="2.2999999999999998"/>
    <x v="1"/>
  </r>
  <r>
    <d v="2026-03-23T00:00:00"/>
    <x v="0"/>
    <x v="92"/>
    <x v="1"/>
    <s v="Rebouças"/>
    <s v="Parolin"/>
    <n v="6.5"/>
    <n v="1.5"/>
    <x v="2"/>
  </r>
  <r>
    <d v="2026-03-24T00:00:00"/>
    <x v="0"/>
    <x v="57"/>
    <x v="1"/>
    <s v="Vila Izabel"/>
    <s v="Prado Velho"/>
    <n v="11.97"/>
    <n v="6.2"/>
    <x v="0"/>
  </r>
  <r>
    <d v="2026-03-24T00:00:00"/>
    <x v="0"/>
    <x v="109"/>
    <x v="0"/>
    <s v="Água Verde"/>
    <s v="Guaíra"/>
    <n v="10.7"/>
    <n v="3.6"/>
    <x v="1"/>
  </r>
  <r>
    <d v="2026-03-24T00:00:00"/>
    <x v="0"/>
    <x v="110"/>
    <x v="0"/>
    <s v="Portão"/>
    <s v="Centro"/>
    <n v="10.4"/>
    <n v="1.9"/>
    <x v="2"/>
  </r>
  <r>
    <d v="2026-03-24T00:00:00"/>
    <x v="0"/>
    <x v="106"/>
    <x v="1"/>
    <s v="Parolin"/>
    <s v="Santa Quitéria"/>
    <n v="8.1999999999999993"/>
    <n v="3.6"/>
    <x v="1"/>
  </r>
  <r>
    <d v="2026-03-24T00:00:00"/>
    <x v="0"/>
    <x v="13"/>
    <x v="1"/>
    <s v="Água Verde"/>
    <s v="Prado Velho"/>
    <n v="8"/>
    <n v="2.7"/>
    <x v="1"/>
  </r>
  <r>
    <d v="2026-03-24T00:00:00"/>
    <x v="0"/>
    <x v="104"/>
    <x v="0"/>
    <s v="Prado Velho"/>
    <s v="Água Verde"/>
    <n v="6.9"/>
    <n v="1.8"/>
    <x v="2"/>
  </r>
  <r>
    <d v="2026-03-24T00:00:00"/>
    <x v="0"/>
    <x v="111"/>
    <x v="0"/>
    <s v="Guaíra"/>
    <s v="Rebouças"/>
    <n v="6.6"/>
    <n v="1.6"/>
    <x v="2"/>
  </r>
  <r>
    <d v="2026-03-24T00:00:00"/>
    <x v="0"/>
    <x v="112"/>
    <x v="2"/>
    <s v="Rebouças"/>
    <s v="Água Verde"/>
    <n v="6.6"/>
    <n v="2"/>
    <x v="2"/>
  </r>
  <r>
    <d v="2026-03-24T00:00:00"/>
    <x v="0"/>
    <x v="61"/>
    <x v="2"/>
    <s v="Água Verde"/>
    <s v="Guaíra"/>
    <n v="6.5"/>
    <n v="2.7"/>
    <x v="1"/>
  </r>
  <r>
    <d v="2026-03-24T00:00:00"/>
    <x v="0"/>
    <x v="113"/>
    <x v="2"/>
    <s v="Água Verde"/>
    <s v="Água Verde"/>
    <n v="6.5"/>
    <n v="3.7"/>
    <x v="1"/>
  </r>
  <r>
    <d v="2026-03-24T00:00:00"/>
    <x v="0"/>
    <x v="34"/>
    <x v="2"/>
    <s v="Guaíra"/>
    <s v="Rebouças"/>
    <n v="6.5"/>
    <n v="2.2999999999999998"/>
    <x v="1"/>
  </r>
  <r>
    <d v="2026-03-24T00:00:00"/>
    <x v="0"/>
    <x v="114"/>
    <x v="2"/>
    <s v="Rebouças"/>
    <s v="Parolin"/>
    <n v="6.5"/>
    <n v="1.4"/>
    <x v="2"/>
  </r>
  <r>
    <d v="2026-03-24T00:00:00"/>
    <x v="0"/>
    <x v="16"/>
    <x v="2"/>
    <s v="Rebouças"/>
    <s v="Fanny"/>
    <n v="6.5"/>
    <n v="2.6"/>
    <x v="1"/>
  </r>
  <r>
    <d v="2026-03-25T00:00:00"/>
    <x v="0"/>
    <x v="48"/>
    <x v="0"/>
    <s v="Fanny"/>
    <s v="Rebouças"/>
    <n v="12.2"/>
    <n v="1.4"/>
    <x v="2"/>
  </r>
  <r>
    <d v="2026-03-25T00:00:00"/>
    <x v="0"/>
    <x v="85"/>
    <x v="1"/>
    <s v="Água Verde"/>
    <s v="Água Verde"/>
    <n v="7.69"/>
    <n v="3.3"/>
    <x v="1"/>
  </r>
  <r>
    <d v="2026-03-25T00:00:00"/>
    <x v="0"/>
    <x v="59"/>
    <x v="1"/>
    <s v="Parolin"/>
    <s v="Guaíra"/>
    <n v="6.9"/>
    <n v="3.3"/>
    <x v="1"/>
  </r>
  <r>
    <d v="2026-03-25T00:00:00"/>
    <x v="0"/>
    <x v="115"/>
    <x v="0"/>
    <s v="Lindóia"/>
    <s v="Parolin"/>
    <n v="6.7"/>
    <n v="1.9"/>
    <x v="2"/>
  </r>
  <r>
    <d v="2026-03-25T00:00:00"/>
    <x v="0"/>
    <x v="22"/>
    <x v="1"/>
    <s v="Rebouças"/>
    <s v="Hauer"/>
    <n v="6.7"/>
    <n v="0.8"/>
    <x v="2"/>
  </r>
  <r>
    <d v="2026-03-25T00:00:00"/>
    <x v="0"/>
    <x v="41"/>
    <x v="1"/>
    <s v="Centro"/>
    <s v="Boqueirão"/>
    <n v="6.6"/>
    <n v="1.9"/>
    <x v="2"/>
  </r>
  <r>
    <d v="2026-03-25T00:00:00"/>
    <x v="0"/>
    <x v="40"/>
    <x v="3"/>
    <s v="Hauer"/>
    <s v="Fazendinha"/>
    <n v="6.6"/>
    <n v="1.8"/>
    <x v="2"/>
  </r>
  <r>
    <d v="2026-03-26T00:00:00"/>
    <x v="0"/>
    <x v="109"/>
    <x v="0"/>
    <s v="Portão"/>
    <s v="Guaíra"/>
    <n v="17.2"/>
    <n v="4.8"/>
    <x v="0"/>
  </r>
  <r>
    <d v="2026-03-26T00:00:00"/>
    <x v="0"/>
    <x v="11"/>
    <x v="1"/>
    <s v="Fazendinha"/>
    <s v="Água Verde"/>
    <n v="13.2"/>
    <n v="5.6"/>
    <x v="0"/>
  </r>
  <r>
    <d v="2026-03-26T00:00:00"/>
    <x v="0"/>
    <x v="64"/>
    <x v="0"/>
    <s v="Lindóia"/>
    <s v="Rebouças"/>
    <n v="12.5"/>
    <n v="2.7"/>
    <x v="1"/>
  </r>
  <r>
    <d v="2026-03-26T00:00:00"/>
    <x v="0"/>
    <x v="57"/>
    <x v="1"/>
    <s v="Água Verde"/>
    <s v="Água Verde"/>
    <n v="7.6"/>
    <n v="3.3"/>
    <x v="1"/>
  </r>
  <r>
    <d v="2026-03-26T00:00:00"/>
    <x v="0"/>
    <x v="116"/>
    <x v="2"/>
    <s v="Portão"/>
    <s v="Fazendinha"/>
    <n v="7.3"/>
    <n v="3"/>
    <x v="1"/>
  </r>
  <r>
    <d v="2026-03-26T00:00:00"/>
    <x v="0"/>
    <x v="104"/>
    <x v="0"/>
    <s v="Fazendinha"/>
    <s v="Água Verde"/>
    <n v="7.2"/>
    <n v="0.8"/>
    <x v="2"/>
  </r>
  <r>
    <d v="2026-03-26T00:00:00"/>
    <x v="0"/>
    <x v="117"/>
    <x v="1"/>
    <s v="Água Verde"/>
    <s v="Água Verde"/>
    <n v="7.1"/>
    <n v="3"/>
    <x v="1"/>
  </r>
  <r>
    <d v="2026-03-26T00:00:00"/>
    <x v="0"/>
    <x v="72"/>
    <x v="2"/>
    <s v="Água Verde"/>
    <s v="Portão"/>
    <n v="6.8"/>
    <n v="3"/>
    <x v="1"/>
  </r>
  <r>
    <d v="2026-03-26T00:00:00"/>
    <x v="0"/>
    <x v="118"/>
    <x v="2"/>
    <s v="Água Verde"/>
    <s v="Água Verde"/>
    <n v="6.6"/>
    <n v="3.8"/>
    <x v="1"/>
  </r>
  <r>
    <d v="2026-03-26T00:00:00"/>
    <x v="0"/>
    <x v="13"/>
    <x v="1"/>
    <s v="Água Verde"/>
    <s v="Água Verde"/>
    <n v="6.5"/>
    <n v="1.6"/>
    <x v="2"/>
  </r>
  <r>
    <d v="2026-03-26T00:00:00"/>
    <x v="0"/>
    <x v="94"/>
    <x v="1"/>
    <s v="Água Verde"/>
    <s v="Rebouças"/>
    <n v="6.5"/>
    <n v="2"/>
    <x v="2"/>
  </r>
  <r>
    <d v="2026-03-26T00:00:00"/>
    <x v="0"/>
    <x v="67"/>
    <x v="2"/>
    <s v="Água Verde"/>
    <s v="Parolin"/>
    <n v="6.5"/>
    <n v="1.9"/>
    <x v="2"/>
  </r>
  <r>
    <d v="2026-03-27T00:00:00"/>
    <x v="0"/>
    <x v="109"/>
    <x v="0"/>
    <s v="Novo Mundo"/>
    <s v="Hauer"/>
    <n v="10.5"/>
    <n v="2.9"/>
    <x v="1"/>
  </r>
  <r>
    <d v="2026-03-27T00:00:00"/>
    <x v="0"/>
    <x v="93"/>
    <x v="1"/>
    <s v="Boqueirão"/>
    <s v="Guabirotuba"/>
    <n v="10"/>
    <n v="4.5999999999999996"/>
    <x v="0"/>
  </r>
  <r>
    <d v="2026-03-27T00:00:00"/>
    <x v="0"/>
    <x v="119"/>
    <x v="2"/>
    <s v="Boqueirão"/>
    <s v="Xaxim"/>
    <n v="9.4"/>
    <n v="4.7"/>
    <x v="0"/>
  </r>
  <r>
    <d v="2026-03-27T00:00:00"/>
    <x v="0"/>
    <x v="56"/>
    <x v="0"/>
    <s v="Novo Mundo"/>
    <s v="Novo Mundo"/>
    <n v="9.4"/>
    <n v="4.4000000000000004"/>
    <x v="0"/>
  </r>
  <r>
    <d v="2026-03-27T00:00:00"/>
    <x v="0"/>
    <x v="88"/>
    <x v="0"/>
    <s v="Guaíra"/>
    <s v="Guaíra"/>
    <n v="8.1"/>
    <n v="1.8"/>
    <x v="2"/>
  </r>
  <r>
    <d v="2026-03-27T00:00:00"/>
    <x v="0"/>
    <x v="113"/>
    <x v="2"/>
    <s v="Hauer"/>
    <s v="Hauer"/>
    <n v="7.5"/>
    <n v="2.9"/>
    <x v="1"/>
  </r>
  <r>
    <d v="2026-03-27T00:00:00"/>
    <x v="0"/>
    <x v="14"/>
    <x v="2"/>
    <s v="Hauer"/>
    <s v="Boqueirão"/>
    <n v="7.3"/>
    <n v="1.1000000000000001"/>
    <x v="2"/>
  </r>
  <r>
    <d v="2026-03-27T00:00:00"/>
    <x v="0"/>
    <x v="107"/>
    <x v="1"/>
    <s v="Hauer"/>
    <s v="Novo Mundo"/>
    <n v="6.9"/>
    <n v="2.7"/>
    <x v="1"/>
  </r>
  <r>
    <d v="2026-03-27T00:00:00"/>
    <x v="0"/>
    <x v="29"/>
    <x v="0"/>
    <s v="Lindóia"/>
    <s v="Boqueirão"/>
    <n v="6.9"/>
    <n v="2"/>
    <x v="2"/>
  </r>
  <r>
    <d v="2026-03-27T00:00:00"/>
    <x v="0"/>
    <x v="120"/>
    <x v="1"/>
    <s v="Xaxim"/>
    <s v="Hauer"/>
    <n v="6.6"/>
    <n v="2.4"/>
    <x v="1"/>
  </r>
  <r>
    <d v="2026-03-27T00:00:00"/>
    <x v="0"/>
    <x v="121"/>
    <x v="2"/>
    <s v="Boqueirão"/>
    <s v="Uberaba"/>
    <n v="6.5"/>
    <n v="1.4"/>
    <x v="2"/>
  </r>
  <r>
    <d v="2026-03-02T00:00:00"/>
    <x v="1"/>
    <x v="122"/>
    <x v="4"/>
    <s v="Centro"/>
    <s v="Parolin"/>
    <n v="14.7"/>
    <n v="5"/>
    <x v="0"/>
  </r>
  <r>
    <d v="2026-03-02T00:00:00"/>
    <x v="1"/>
    <x v="123"/>
    <x v="5"/>
    <s v="Parolin"/>
    <s v="Água Verde"/>
    <n v="14.39"/>
    <n v="4.7"/>
    <x v="0"/>
  </r>
  <r>
    <d v="2026-03-02T00:00:00"/>
    <x v="1"/>
    <x v="124"/>
    <x v="6"/>
    <s v="Hauer"/>
    <s v="Sítio Cercado"/>
    <n v="12"/>
    <n v="5.7"/>
    <x v="0"/>
  </r>
  <r>
    <d v="2026-03-02T00:00:00"/>
    <x v="1"/>
    <x v="125"/>
    <x v="4"/>
    <s v="Boqueirão"/>
    <s v="Boqueirão"/>
    <n v="11.5"/>
    <n v="4.8"/>
    <x v="0"/>
  </r>
  <r>
    <d v="2026-03-02T00:00:00"/>
    <x v="1"/>
    <x v="126"/>
    <x v="6"/>
    <s v="Boqueirão"/>
    <s v="Boqueirão"/>
    <n v="9.3000000000000007"/>
    <n v="4.5"/>
    <x v="0"/>
  </r>
  <r>
    <d v="2026-03-02T00:00:00"/>
    <x v="1"/>
    <x v="127"/>
    <x v="4"/>
    <s v="Boqueirão"/>
    <s v="Hauer"/>
    <n v="8.8000000000000007"/>
    <n v="3.3"/>
    <x v="1"/>
  </r>
  <r>
    <d v="2026-03-02T00:00:00"/>
    <x v="1"/>
    <x v="128"/>
    <x v="5"/>
    <s v="Hauer"/>
    <s v="Boqueirão"/>
    <n v="8.1199999999999992"/>
    <n v="2"/>
    <x v="2"/>
  </r>
  <r>
    <d v="2026-03-02T00:00:00"/>
    <x v="1"/>
    <x v="129"/>
    <x v="4"/>
    <s v="Uberaba"/>
    <s v="Parolin"/>
    <n v="7.9"/>
    <n v="2.4"/>
    <x v="1"/>
  </r>
  <r>
    <d v="2026-03-02T00:00:00"/>
    <x v="1"/>
    <x v="130"/>
    <x v="5"/>
    <s v="Fanny"/>
    <s v="Sítio Cercado"/>
    <n v="6.9"/>
    <n v="1.3"/>
    <x v="2"/>
  </r>
  <r>
    <d v="2026-03-02T00:00:00"/>
    <x v="1"/>
    <x v="131"/>
    <x v="7"/>
    <s v="Sítio Cercado"/>
    <s v="Guaíra"/>
    <n v="6.7"/>
    <n v="1.2"/>
    <x v="2"/>
  </r>
  <r>
    <d v="2026-03-02T00:00:00"/>
    <x v="1"/>
    <x v="132"/>
    <x v="8"/>
    <s v="Água Verde"/>
    <s v="Guaíra"/>
    <n v="6.6"/>
    <n v="0.8"/>
    <x v="2"/>
  </r>
  <r>
    <d v="2026-03-02T00:00:00"/>
    <x v="1"/>
    <x v="133"/>
    <x v="8"/>
    <s v="Lindóia"/>
    <s v="Parolin"/>
    <n v="6.6"/>
    <n v="1.1000000000000001"/>
    <x v="2"/>
  </r>
  <r>
    <d v="2026-03-02T00:00:00"/>
    <x v="1"/>
    <x v="134"/>
    <x v="5"/>
    <s v="Parolin"/>
    <s v="Sítio Cercado"/>
    <n v="6.6"/>
    <n v="1.5"/>
    <x v="2"/>
  </r>
  <r>
    <d v="2026-03-02T00:00:00"/>
    <x v="1"/>
    <x v="135"/>
    <x v="7"/>
    <s v="Sítio Cercado"/>
    <s v="Guaíra"/>
    <n v="6.6"/>
    <n v="1.7"/>
    <x v="2"/>
  </r>
  <r>
    <d v="2026-03-02T00:00:00"/>
    <x v="1"/>
    <x v="136"/>
    <x v="6"/>
    <s v="Água Verde"/>
    <s v="Boqueirão"/>
    <n v="6.5"/>
    <n v="2.2000000000000002"/>
    <x v="1"/>
  </r>
  <r>
    <d v="2026-03-02T00:00:00"/>
    <x v="1"/>
    <x v="137"/>
    <x v="6"/>
    <s v="Alto Boqueirão"/>
    <s v="Portão"/>
    <n v="6.5"/>
    <n v="2.2999999999999998"/>
    <x v="1"/>
  </r>
  <r>
    <d v="2026-03-02T00:00:00"/>
    <x v="1"/>
    <x v="138"/>
    <x v="8"/>
    <s v="Guaíra"/>
    <s v="Lindóia"/>
    <n v="6.5"/>
    <n v="1.2"/>
    <x v="2"/>
  </r>
  <r>
    <d v="2026-03-02T00:00:00"/>
    <x v="1"/>
    <x v="139"/>
    <x v="6"/>
    <s v="Guaíra"/>
    <s v="Lindóia"/>
    <n v="6.5"/>
    <n v="1.9"/>
    <x v="2"/>
  </r>
  <r>
    <d v="2026-03-02T00:00:00"/>
    <x v="1"/>
    <x v="140"/>
    <x v="8"/>
    <s v="Portão"/>
    <s v="Sítio Cercado"/>
    <n v="6.5"/>
    <n v="2.2000000000000002"/>
    <x v="1"/>
  </r>
  <r>
    <d v="2026-03-02T00:00:00"/>
    <x v="1"/>
    <x v="141"/>
    <x v="7"/>
    <s v="Sítio Cercado"/>
    <s v="Sítio Cercado"/>
    <n v="6.5"/>
    <n v="2"/>
    <x v="2"/>
  </r>
  <r>
    <d v="2026-03-02T00:00:00"/>
    <x v="1"/>
    <x v="142"/>
    <x v="7"/>
    <s v="Sítio Cercado"/>
    <s v="Alto Boqueirão"/>
    <n v="6.5"/>
    <n v="2.1"/>
    <x v="1"/>
  </r>
  <r>
    <d v="2026-03-02T00:00:00"/>
    <x v="1"/>
    <x v="143"/>
    <x v="7"/>
    <s v="Sítio Cercado"/>
    <s v="Guaíra"/>
    <n v="6.5"/>
    <n v="1.8"/>
    <x v="2"/>
  </r>
  <r>
    <d v="2026-03-03T00:00:00"/>
    <x v="1"/>
    <x v="144"/>
    <x v="5"/>
    <s v="Centro"/>
    <s v="Boqueirão"/>
    <n v="22.5"/>
    <n v="6.4"/>
    <x v="0"/>
  </r>
  <r>
    <d v="2026-03-03T00:00:00"/>
    <x v="1"/>
    <x v="145"/>
    <x v="4"/>
    <s v="Guaíra"/>
    <s v="Boqueirão"/>
    <n v="11.6"/>
    <n v="5.0999999999999996"/>
    <x v="0"/>
  </r>
  <r>
    <d v="2026-03-03T00:00:00"/>
    <x v="1"/>
    <x v="146"/>
    <x v="6"/>
    <s v="Sítio Cercado"/>
    <s v="Guaíra"/>
    <n v="10.7"/>
    <n v="6"/>
    <x v="0"/>
  </r>
  <r>
    <d v="2026-03-03T00:00:00"/>
    <x v="1"/>
    <x v="147"/>
    <x v="4"/>
    <s v="Guaíra"/>
    <s v="Xaxim"/>
    <n v="9.5"/>
    <n v="3.5"/>
    <x v="1"/>
  </r>
  <r>
    <d v="2026-03-03T00:00:00"/>
    <x v="1"/>
    <x v="141"/>
    <x v="7"/>
    <s v="Boqueirão"/>
    <s v="Mercês"/>
    <n v="9.4"/>
    <n v="2.9"/>
    <x v="1"/>
  </r>
  <r>
    <d v="2026-03-03T00:00:00"/>
    <x v="1"/>
    <x v="148"/>
    <x v="8"/>
    <s v="Centro"/>
    <s v="Bigorrílho"/>
    <n v="8.9"/>
    <n v="3"/>
    <x v="1"/>
  </r>
  <r>
    <d v="2026-03-03T00:00:00"/>
    <x v="1"/>
    <x v="149"/>
    <x v="5"/>
    <s v="Mercês"/>
    <s v="Pinheirinho"/>
    <n v="8.4"/>
    <n v="0.9"/>
    <x v="2"/>
  </r>
  <r>
    <d v="2026-03-03T00:00:00"/>
    <x v="1"/>
    <x v="150"/>
    <x v="7"/>
    <s v="Xaxim"/>
    <s v="Xaxim"/>
    <n v="8.1"/>
    <n v="2.6"/>
    <x v="1"/>
  </r>
  <r>
    <d v="2026-03-03T00:00:00"/>
    <x v="1"/>
    <x v="151"/>
    <x v="4"/>
    <s v="Centro"/>
    <s v="Centro"/>
    <n v="8"/>
    <n v="2.8"/>
    <x v="1"/>
  </r>
  <r>
    <d v="2026-03-03T00:00:00"/>
    <x v="1"/>
    <x v="152"/>
    <x v="5"/>
    <s v="Centro"/>
    <s v="Boqueirão"/>
    <n v="7.7"/>
    <n v="2.6"/>
    <x v="1"/>
  </r>
  <r>
    <d v="2026-03-03T00:00:00"/>
    <x v="1"/>
    <x v="153"/>
    <x v="4"/>
    <s v="Boqueirão"/>
    <s v="Centro"/>
    <n v="7.5"/>
    <n v="1.5"/>
    <x v="2"/>
  </r>
  <r>
    <d v="2026-03-03T00:00:00"/>
    <x v="1"/>
    <x v="154"/>
    <x v="8"/>
    <s v="Rebouças"/>
    <s v="Rebouças"/>
    <n v="6.9"/>
    <n v="1.7"/>
    <x v="2"/>
  </r>
  <r>
    <d v="2026-03-03T00:00:00"/>
    <x v="1"/>
    <x v="155"/>
    <x v="8"/>
    <s v="Centro"/>
    <s v="Mercês"/>
    <n v="6.8"/>
    <n v="1.9"/>
    <x v="2"/>
  </r>
  <r>
    <d v="2026-03-03T00:00:00"/>
    <x v="1"/>
    <x v="156"/>
    <x v="5"/>
    <s v="Mercês"/>
    <s v="Centro"/>
    <n v="6.8"/>
    <n v="1.7"/>
    <x v="2"/>
  </r>
  <r>
    <d v="2026-03-03T00:00:00"/>
    <x v="1"/>
    <x v="138"/>
    <x v="8"/>
    <s v="São Francisco"/>
    <s v="Centro"/>
    <n v="6.8"/>
    <n v="2.8"/>
    <x v="1"/>
  </r>
  <r>
    <d v="2026-03-03T00:00:00"/>
    <x v="1"/>
    <x v="157"/>
    <x v="8"/>
    <s v="Alto da Glória"/>
    <s v="Hauer"/>
    <n v="6.5"/>
    <n v="1.9"/>
    <x v="2"/>
  </r>
  <r>
    <d v="2026-03-03T00:00:00"/>
    <x v="1"/>
    <x v="158"/>
    <x v="4"/>
    <s v="Boqueirão"/>
    <s v="Sítio Cercado"/>
    <n v="6.5"/>
    <n v="1"/>
    <x v="2"/>
  </r>
  <r>
    <d v="2026-03-03T00:00:00"/>
    <x v="1"/>
    <x v="159"/>
    <x v="7"/>
    <s v="Sítio Cercado"/>
    <s v="Sítio Cercado"/>
    <n v="6.5"/>
    <n v="1.8"/>
    <x v="2"/>
  </r>
  <r>
    <d v="2026-03-03T00:00:00"/>
    <x v="1"/>
    <x v="160"/>
    <x v="7"/>
    <s v="Sítio Cercado"/>
    <s v="Xaxim"/>
    <n v="6.5"/>
    <n v="2.4"/>
    <x v="1"/>
  </r>
  <r>
    <d v="2026-03-03T00:00:00"/>
    <x v="1"/>
    <x v="161"/>
    <x v="7"/>
    <s v="Xaxim"/>
    <s v="Sítio Cercado"/>
    <n v="6.5"/>
    <n v="1.3"/>
    <x v="2"/>
  </r>
  <r>
    <d v="2026-03-03T00:00:00"/>
    <x v="1"/>
    <x v="162"/>
    <x v="7"/>
    <s v="Xaxim"/>
    <s v="Portão"/>
    <n v="6.5"/>
    <n v="1.8"/>
    <x v="2"/>
  </r>
  <r>
    <d v="2026-03-04T00:00:00"/>
    <x v="1"/>
    <x v="163"/>
    <x v="7"/>
    <s v="Xaxim"/>
    <s v="Hauer"/>
    <n v="16.100000000000001"/>
    <n v="6.4"/>
    <x v="0"/>
  </r>
  <r>
    <d v="2026-03-04T00:00:00"/>
    <x v="1"/>
    <x v="127"/>
    <x v="4"/>
    <s v="Hauer"/>
    <s v="Novo Mundo"/>
    <n v="11.27"/>
    <n v="2"/>
    <x v="2"/>
  </r>
  <r>
    <d v="2026-03-04T00:00:00"/>
    <x v="1"/>
    <x v="164"/>
    <x v="7"/>
    <s v="Novo Mundo"/>
    <s v="Boqueirão"/>
    <n v="10.4"/>
    <n v="2.2999999999999998"/>
    <x v="1"/>
  </r>
  <r>
    <d v="2026-03-04T00:00:00"/>
    <x v="1"/>
    <x v="165"/>
    <x v="5"/>
    <s v="Hauer"/>
    <s v="Hauer"/>
    <n v="10.119999999999999"/>
    <n v="2.2000000000000002"/>
    <x v="1"/>
  </r>
  <r>
    <d v="2026-03-04T00:00:00"/>
    <x v="1"/>
    <x v="166"/>
    <x v="4"/>
    <s v="Guabirotuba"/>
    <s v="Novo Mundo"/>
    <n v="7.9"/>
    <n v="3.5"/>
    <x v="1"/>
  </r>
  <r>
    <d v="2026-03-04T00:00:00"/>
    <x v="1"/>
    <x v="150"/>
    <x v="7"/>
    <s v="Portão"/>
    <s v="Hauer"/>
    <n v="7.8"/>
    <n v="2.7"/>
    <x v="1"/>
  </r>
  <r>
    <d v="2026-03-04T00:00:00"/>
    <x v="1"/>
    <x v="167"/>
    <x v="5"/>
    <s v="Boqueirão"/>
    <s v="Fanny"/>
    <n v="7.38"/>
    <n v="1.4"/>
    <x v="2"/>
  </r>
  <r>
    <d v="2026-03-04T00:00:00"/>
    <x v="1"/>
    <x v="168"/>
    <x v="5"/>
    <s v="Hauer"/>
    <s v="Guabirotuba"/>
    <n v="7.1"/>
    <n v="3.1"/>
    <x v="1"/>
  </r>
  <r>
    <d v="2026-03-04T00:00:00"/>
    <x v="1"/>
    <x v="169"/>
    <x v="4"/>
    <s v="Guabirotuba"/>
    <s v="Xaxim"/>
    <n v="6.7"/>
    <n v="1.1000000000000001"/>
    <x v="2"/>
  </r>
  <r>
    <d v="2026-03-04T00:00:00"/>
    <x v="1"/>
    <x v="153"/>
    <x v="4"/>
    <s v="Boqueirão"/>
    <s v="Guabirotuba"/>
    <n v="6.6"/>
    <n v="0.9"/>
    <x v="2"/>
  </r>
  <r>
    <d v="2026-03-04T00:00:00"/>
    <x v="1"/>
    <x v="170"/>
    <x v="5"/>
    <s v="Hauer"/>
    <s v="Guaíra"/>
    <n v="6.5"/>
    <n v="1.5"/>
    <x v="2"/>
  </r>
  <r>
    <d v="2026-03-04T00:00:00"/>
    <x v="1"/>
    <x v="171"/>
    <x v="6"/>
    <s v="Lindóia"/>
    <s v="Novo Mundo"/>
    <n v="6.5"/>
    <n v="1.7"/>
    <x v="2"/>
  </r>
  <r>
    <d v="2026-03-04T00:00:00"/>
    <x v="1"/>
    <x v="172"/>
    <x v="7"/>
    <s v="Novo Mundo"/>
    <s v="Fanny"/>
    <n v="6.5"/>
    <n v="0.7"/>
    <x v="2"/>
  </r>
  <r>
    <d v="2026-03-04T00:00:00"/>
    <x v="1"/>
    <x v="137"/>
    <x v="6"/>
    <s v="Novo Mundo"/>
    <s v="Hauer"/>
    <n v="6.5"/>
    <n v="2.6"/>
    <x v="1"/>
  </r>
  <r>
    <d v="2026-03-04T00:00:00"/>
    <x v="1"/>
    <x v="173"/>
    <x v="5"/>
    <s v="Parolin"/>
    <s v="Xaxim"/>
    <n v="6.5"/>
    <n v="1.6"/>
    <x v="2"/>
  </r>
  <r>
    <d v="2026-03-04T00:00:00"/>
    <x v="1"/>
    <x v="125"/>
    <x v="4"/>
    <s v="Xaxim"/>
    <s v="Fanny"/>
    <n v="6.5"/>
    <n v="1.2"/>
    <x v="2"/>
  </r>
  <r>
    <d v="2026-03-05T00:00:00"/>
    <x v="1"/>
    <x v="174"/>
    <x v="4"/>
    <s v="Parolin"/>
    <s v="Guabirotuba"/>
    <n v="11.4"/>
    <n v="1.2"/>
    <x v="2"/>
  </r>
  <r>
    <d v="2026-03-05T00:00:00"/>
    <x v="1"/>
    <x v="158"/>
    <x v="4"/>
    <s v="Boqueirão"/>
    <s v="Hauer"/>
    <n v="9.1999999999999993"/>
    <n v="2.5"/>
    <x v="1"/>
  </r>
  <r>
    <d v="2026-03-05T00:00:00"/>
    <x v="1"/>
    <x v="175"/>
    <x v="8"/>
    <s v="Xaxim"/>
    <s v="Guaíra"/>
    <n v="8.9"/>
    <n v="3.8"/>
    <x v="1"/>
  </r>
  <r>
    <d v="2026-03-05T00:00:00"/>
    <x v="1"/>
    <x v="176"/>
    <x v="6"/>
    <s v="Hauer"/>
    <s v="Lindóia"/>
    <n v="8.8000000000000007"/>
    <n v="4.0999999999999996"/>
    <x v="0"/>
  </r>
  <r>
    <d v="2026-03-05T00:00:00"/>
    <x v="1"/>
    <x v="177"/>
    <x v="5"/>
    <s v="Guaíra"/>
    <s v="Boqueirão"/>
    <n v="8.3000000000000007"/>
    <n v="2.2999999999999998"/>
    <x v="1"/>
  </r>
  <r>
    <d v="2026-03-05T00:00:00"/>
    <x v="1"/>
    <x v="178"/>
    <x v="4"/>
    <s v="Boqueirão"/>
    <s v="Hauer"/>
    <n v="8.1999999999999993"/>
    <n v="3.3"/>
    <x v="1"/>
  </r>
  <r>
    <d v="2026-03-05T00:00:00"/>
    <x v="1"/>
    <x v="179"/>
    <x v="4"/>
    <s v="Hauer"/>
    <s v="Capão Raso"/>
    <n v="8.1"/>
    <n v="2"/>
    <x v="2"/>
  </r>
  <r>
    <d v="2026-03-05T00:00:00"/>
    <x v="1"/>
    <x v="180"/>
    <x v="7"/>
    <s v="Xaxim"/>
    <s v="Boqueirão"/>
    <n v="8.1"/>
    <n v="2.8"/>
    <x v="1"/>
  </r>
  <r>
    <d v="2026-03-05T00:00:00"/>
    <x v="1"/>
    <x v="146"/>
    <x v="6"/>
    <s v="Novo Mundo"/>
    <s v="Boqueirão"/>
    <n v="8"/>
    <n v="4.5999999999999996"/>
    <x v="0"/>
  </r>
  <r>
    <d v="2026-03-05T00:00:00"/>
    <x v="1"/>
    <x v="181"/>
    <x v="7"/>
    <s v="Boqueirão"/>
    <s v="Água Verde"/>
    <n v="7.8"/>
    <n v="2.6"/>
    <x v="1"/>
  </r>
  <r>
    <d v="2026-03-05T00:00:00"/>
    <x v="1"/>
    <x v="144"/>
    <x v="5"/>
    <s v="Água Verde"/>
    <s v="Guaíra"/>
    <n v="7.6"/>
    <n v="2"/>
    <x v="2"/>
  </r>
  <r>
    <d v="2026-03-05T00:00:00"/>
    <x v="1"/>
    <x v="182"/>
    <x v="5"/>
    <s v="Água Verde"/>
    <s v="Novo Mundo"/>
    <n v="6.7"/>
    <n v="3.1"/>
    <x v="1"/>
  </r>
  <r>
    <d v="2026-03-05T00:00:00"/>
    <x v="1"/>
    <x v="183"/>
    <x v="6"/>
    <s v="Portão"/>
    <s v="Boqueirão"/>
    <n v="6.7"/>
    <n v="1.1000000000000001"/>
    <x v="2"/>
  </r>
  <r>
    <d v="2026-03-05T00:00:00"/>
    <x v="1"/>
    <x v="184"/>
    <x v="8"/>
    <s v="Boqueirão"/>
    <s v="Xaxim"/>
    <n v="6.6"/>
    <n v="0.8"/>
    <x v="2"/>
  </r>
  <r>
    <d v="2026-03-05T00:00:00"/>
    <x v="1"/>
    <x v="185"/>
    <x v="8"/>
    <s v="Boqueirão"/>
    <s v="Parolin"/>
    <n v="6.6"/>
    <n v="1.7"/>
    <x v="2"/>
  </r>
  <r>
    <d v="2026-03-05T00:00:00"/>
    <x v="1"/>
    <x v="186"/>
    <x v="5"/>
    <s v="Fanny"/>
    <s v="Parolin"/>
    <n v="6.6"/>
    <n v="1.7"/>
    <x v="2"/>
  </r>
  <r>
    <d v="2026-03-05T00:00:00"/>
    <x v="1"/>
    <x v="187"/>
    <x v="9"/>
    <s v="Novo Mundo"/>
    <s v="Parolin"/>
    <n v="6.6"/>
    <n v="2.2999999999999998"/>
    <x v="1"/>
  </r>
  <r>
    <d v="2026-03-05T00:00:00"/>
    <x v="1"/>
    <x v="165"/>
    <x v="5"/>
    <s v="Parolin"/>
    <s v="Boqueirão"/>
    <n v="6.6"/>
    <n v="1.2"/>
    <x v="2"/>
  </r>
  <r>
    <d v="2026-03-05T00:00:00"/>
    <x v="1"/>
    <x v="188"/>
    <x v="7"/>
    <s v="Boqueirão"/>
    <s v="Xaxim"/>
    <n v="6.5"/>
    <n v="2.2000000000000002"/>
    <x v="1"/>
  </r>
  <r>
    <d v="2026-03-05T00:00:00"/>
    <x v="1"/>
    <x v="189"/>
    <x v="7"/>
    <s v="Boqueirão"/>
    <s v="Boqueirão"/>
    <n v="6.5"/>
    <n v="3.1"/>
    <x v="1"/>
  </r>
  <r>
    <d v="2026-03-05T00:00:00"/>
    <x v="1"/>
    <x v="190"/>
    <x v="6"/>
    <s v="Boqueirão"/>
    <s v="Fanny"/>
    <n v="6.5"/>
    <n v="1.6"/>
    <x v="2"/>
  </r>
  <r>
    <d v="2026-03-05T00:00:00"/>
    <x v="1"/>
    <x v="191"/>
    <x v="5"/>
    <s v="Fanny"/>
    <s v="Hauer"/>
    <n v="6.5"/>
    <n v="1"/>
    <x v="2"/>
  </r>
  <r>
    <d v="2026-03-05T00:00:00"/>
    <x v="1"/>
    <x v="192"/>
    <x v="6"/>
    <s v="Hauer"/>
    <s v="Portão"/>
    <n v="6.5"/>
    <n v="1.2"/>
    <x v="2"/>
  </r>
  <r>
    <d v="2026-03-05T00:00:00"/>
    <x v="1"/>
    <x v="193"/>
    <x v="5"/>
    <s v="Novo Mundo"/>
    <s v="Hauer"/>
    <n v="6.5"/>
    <n v="1.7"/>
    <x v="2"/>
  </r>
  <r>
    <d v="2026-03-05T00:00:00"/>
    <x v="1"/>
    <x v="194"/>
    <x v="8"/>
    <s v="Uberaba"/>
    <s v="Xaxim"/>
    <n v="6.5"/>
    <n v="2.5"/>
    <x v="1"/>
  </r>
  <r>
    <d v="2026-03-05T00:00:00"/>
    <x v="1"/>
    <x v="195"/>
    <x v="8"/>
    <s v="Xaxim"/>
    <s v="Boqueirão"/>
    <n v="6.5"/>
    <n v="1.6"/>
    <x v="2"/>
  </r>
  <r>
    <d v="2026-03-06T00:00:00"/>
    <x v="1"/>
    <x v="196"/>
    <x v="4"/>
    <s v="Parolin"/>
    <s v="Xaxim"/>
    <n v="28.9"/>
    <n v="7.1"/>
    <x v="0"/>
  </r>
  <r>
    <d v="2026-03-06T00:00:00"/>
    <x v="1"/>
    <x v="197"/>
    <x v="4"/>
    <s v="Hauer"/>
    <s v="Fanny"/>
    <n v="15.9"/>
    <n v="4.4000000000000004"/>
    <x v="0"/>
  </r>
  <r>
    <d v="2026-03-06T00:00:00"/>
    <x v="1"/>
    <x v="128"/>
    <x v="5"/>
    <s v="Hauer"/>
    <s v="Xaxim"/>
    <n v="12.3"/>
    <n v="2.6"/>
    <x v="1"/>
  </r>
  <r>
    <d v="2026-03-06T00:00:00"/>
    <x v="1"/>
    <x v="198"/>
    <x v="7"/>
    <s v="Boqueirão"/>
    <s v="Rebouças"/>
    <n v="12"/>
    <n v="3.7"/>
    <x v="1"/>
  </r>
  <r>
    <d v="2026-03-06T00:00:00"/>
    <x v="1"/>
    <x v="199"/>
    <x v="4"/>
    <s v="Guaíra"/>
    <s v="Hauer"/>
    <n v="11.6"/>
    <n v="3.4"/>
    <x v="1"/>
  </r>
  <r>
    <d v="2026-03-06T00:00:00"/>
    <x v="1"/>
    <x v="158"/>
    <x v="4"/>
    <s v="Uberaba"/>
    <s v="Sítio Cercado"/>
    <n v="10.5"/>
    <n v="2"/>
    <x v="2"/>
  </r>
  <r>
    <d v="2026-03-06T00:00:00"/>
    <x v="1"/>
    <x v="159"/>
    <x v="7"/>
    <s v="Xaxim"/>
    <s v="Sítio Cercado"/>
    <n v="9.9"/>
    <n v="3.2"/>
    <x v="1"/>
  </r>
  <r>
    <d v="2026-03-06T00:00:00"/>
    <x v="1"/>
    <x v="200"/>
    <x v="6"/>
    <s v="Sítio Cercado"/>
    <s v="Lindóia"/>
    <n v="9.3000000000000007"/>
    <n v="2.8"/>
    <x v="1"/>
  </r>
  <r>
    <d v="2026-03-06T00:00:00"/>
    <x v="1"/>
    <x v="165"/>
    <x v="5"/>
    <s v="Lindóia"/>
    <s v="Boqueirão"/>
    <n v="8.42"/>
    <n v="1.4"/>
    <x v="2"/>
  </r>
  <r>
    <d v="2026-03-06T00:00:00"/>
    <x v="1"/>
    <x v="201"/>
    <x v="7"/>
    <s v="Xaxim"/>
    <s v="Sítio Cercado"/>
    <n v="7.8"/>
    <n v="2.1"/>
    <x v="1"/>
  </r>
  <r>
    <d v="2026-03-06T00:00:00"/>
    <x v="1"/>
    <x v="146"/>
    <x v="6"/>
    <s v="Pinheirinho"/>
    <s v="Sítio Cercado"/>
    <n v="6.7"/>
    <n v="2.5"/>
    <x v="1"/>
  </r>
  <r>
    <d v="2026-03-06T00:00:00"/>
    <x v="1"/>
    <x v="202"/>
    <x v="9"/>
    <s v="Sítio Cercado"/>
    <s v="Fanny"/>
    <n v="6.7"/>
    <n v="2.5"/>
    <x v="1"/>
  </r>
  <r>
    <d v="2026-03-06T00:00:00"/>
    <x v="1"/>
    <x v="157"/>
    <x v="8"/>
    <s v="Lindóia"/>
    <s v="Sítio Cercado"/>
    <n v="6.6"/>
    <n v="1.7"/>
    <x v="2"/>
  </r>
  <r>
    <d v="2026-03-06T00:00:00"/>
    <x v="1"/>
    <x v="124"/>
    <x v="6"/>
    <s v="Sítio Cercado"/>
    <s v="Sítio Cercado"/>
    <n v="6.6"/>
    <n v="1.4"/>
    <x v="2"/>
  </r>
  <r>
    <d v="2026-03-06T00:00:00"/>
    <x v="1"/>
    <x v="203"/>
    <x v="6"/>
    <s v="Sítio Cercado"/>
    <s v="Sítio Cercado"/>
    <n v="6.6"/>
    <n v="1.8"/>
    <x v="2"/>
  </r>
  <r>
    <d v="2026-03-06T00:00:00"/>
    <x v="1"/>
    <x v="204"/>
    <x v="6"/>
    <s v="Sítio Cercado"/>
    <s v="Portão"/>
    <n v="6.6"/>
    <n v="2.2999999999999998"/>
    <x v="1"/>
  </r>
  <r>
    <d v="2026-03-06T00:00:00"/>
    <x v="1"/>
    <x v="140"/>
    <x v="8"/>
    <s v="Portão"/>
    <s v="Sítio Cercado"/>
    <n v="6.5"/>
    <n v="2"/>
    <x v="2"/>
  </r>
  <r>
    <d v="2026-03-06T00:00:00"/>
    <x v="1"/>
    <x v="205"/>
    <x v="6"/>
    <s v="Sítio Cercado"/>
    <s v="Sítio Cercado"/>
    <n v="6.5"/>
    <n v="1.2"/>
    <x v="2"/>
  </r>
  <r>
    <d v="2026-03-06T00:00:00"/>
    <x v="1"/>
    <x v="136"/>
    <x v="6"/>
    <s v="Sítio Cercado"/>
    <s v="Cidade Industrial de Curitiba"/>
    <n v="6.5"/>
    <n v="0.6"/>
    <x v="2"/>
  </r>
  <r>
    <d v="2026-03-09T00:00:00"/>
    <x v="1"/>
    <x v="206"/>
    <x v="8"/>
    <s v="Novo Mundo"/>
    <s v="Sítio Cercado"/>
    <n v="9.6"/>
    <n v="3.3"/>
    <x v="1"/>
  </r>
  <r>
    <d v="2026-03-09T00:00:00"/>
    <x v="1"/>
    <x v="207"/>
    <x v="4"/>
    <s v="Pinheirinho"/>
    <s v="Pinheirinho"/>
    <n v="9.1"/>
    <n v="3.1"/>
    <x v="1"/>
  </r>
  <r>
    <d v="2026-03-09T00:00:00"/>
    <x v="1"/>
    <x v="208"/>
    <x v="4"/>
    <s v="Pinheirinho"/>
    <s v="Pinheirinho"/>
    <n v="8.5"/>
    <n v="2.7"/>
    <x v="1"/>
  </r>
  <r>
    <d v="2026-03-09T00:00:00"/>
    <x v="1"/>
    <x v="209"/>
    <x v="5"/>
    <s v="Capão Raso"/>
    <s v="Novo Mundo"/>
    <n v="8.4"/>
    <n v="3"/>
    <x v="1"/>
  </r>
  <r>
    <d v="2026-03-09T00:00:00"/>
    <x v="1"/>
    <x v="181"/>
    <x v="7"/>
    <s v="Novo Mundo"/>
    <s v="Xaxim"/>
    <n v="8.2200000000000006"/>
    <n v="2.8"/>
    <x v="1"/>
  </r>
  <r>
    <d v="2026-03-09T00:00:00"/>
    <x v="1"/>
    <x v="210"/>
    <x v="7"/>
    <s v="Pinheirinho"/>
    <s v="Pinheirinho"/>
    <n v="8.1199999999999992"/>
    <n v="2.5"/>
    <x v="1"/>
  </r>
  <r>
    <d v="2026-03-09T00:00:00"/>
    <x v="1"/>
    <x v="211"/>
    <x v="7"/>
    <s v="Pinheirinho"/>
    <s v="Capão Raso"/>
    <n v="8.1"/>
    <n v="2.2999999999999998"/>
    <x v="1"/>
  </r>
  <r>
    <d v="2026-03-09T00:00:00"/>
    <x v="1"/>
    <x v="212"/>
    <x v="5"/>
    <s v="Novo Mundo"/>
    <s v="Portão"/>
    <n v="7.72"/>
    <n v="1.8"/>
    <x v="2"/>
  </r>
  <r>
    <d v="2026-03-09T00:00:00"/>
    <x v="1"/>
    <x v="213"/>
    <x v="6"/>
    <s v="Novo Mundo"/>
    <s v="Pinheirinho"/>
    <n v="7.2"/>
    <n v="1.8"/>
    <x v="2"/>
  </r>
  <r>
    <d v="2026-03-09T00:00:00"/>
    <x v="1"/>
    <x v="179"/>
    <x v="4"/>
    <s v="Sítio Cercado"/>
    <s v="Novo Mundo"/>
    <n v="6.7"/>
    <n v="2.6"/>
    <x v="1"/>
  </r>
  <r>
    <d v="2026-03-09T00:00:00"/>
    <x v="1"/>
    <x v="135"/>
    <x v="7"/>
    <s v="Capão Raso"/>
    <s v="Cidade Industrial de Curitiba"/>
    <n v="6.6"/>
    <n v="2.2999999999999998"/>
    <x v="1"/>
  </r>
  <r>
    <d v="2026-03-09T00:00:00"/>
    <x v="1"/>
    <x v="214"/>
    <x v="8"/>
    <s v="Cidade Industrial de Curitiba"/>
    <s v="Lindóia"/>
    <n v="6.6"/>
    <n v="3.2"/>
    <x v="1"/>
  </r>
  <r>
    <d v="2026-03-09T00:00:00"/>
    <x v="1"/>
    <x v="215"/>
    <x v="8"/>
    <s v="Fanny"/>
    <s v="Fazendinha"/>
    <n v="6.6"/>
    <n v="1.1000000000000001"/>
    <x v="2"/>
  </r>
  <r>
    <d v="2026-03-09T00:00:00"/>
    <x v="1"/>
    <x v="216"/>
    <x v="5"/>
    <s v="Fazendinha"/>
    <s v="Novo Mundo"/>
    <n v="6.6"/>
    <n v="1.1000000000000001"/>
    <x v="2"/>
  </r>
  <r>
    <d v="2026-03-09T00:00:00"/>
    <x v="1"/>
    <x v="217"/>
    <x v="8"/>
    <s v="Água Verde"/>
    <s v="Novo Mundo"/>
    <n v="6.5"/>
    <n v="0.6"/>
    <x v="2"/>
  </r>
  <r>
    <d v="2026-03-09T00:00:00"/>
    <x v="1"/>
    <x v="218"/>
    <x v="8"/>
    <s v="Fanny"/>
    <s v="Novo Mundo"/>
    <n v="6.5"/>
    <n v="1.4"/>
    <x v="2"/>
  </r>
  <r>
    <d v="2026-03-09T00:00:00"/>
    <x v="1"/>
    <x v="219"/>
    <x v="5"/>
    <s v="Fazendinha"/>
    <s v="Novo Mundo"/>
    <n v="6.5"/>
    <n v="3.3"/>
    <x v="1"/>
  </r>
  <r>
    <d v="2026-03-09T00:00:00"/>
    <x v="1"/>
    <x v="220"/>
    <x v="8"/>
    <s v="Novo Mundo"/>
    <s v="Novo Mundo"/>
    <n v="6.5"/>
    <n v="1.5"/>
    <x v="2"/>
  </r>
  <r>
    <d v="2026-03-09T00:00:00"/>
    <x v="1"/>
    <x v="221"/>
    <x v="7"/>
    <s v="Novo Mundo"/>
    <s v="Portão"/>
    <n v="6.5"/>
    <n v="1.9"/>
    <x v="2"/>
  </r>
  <r>
    <d v="2026-03-09T00:00:00"/>
    <x v="1"/>
    <x v="190"/>
    <x v="6"/>
    <s v="Novo Mundo"/>
    <s v="Pinheirinho"/>
    <n v="6.5"/>
    <n v="1.1000000000000001"/>
    <x v="2"/>
  </r>
  <r>
    <d v="2026-03-09T00:00:00"/>
    <x v="1"/>
    <x v="222"/>
    <x v="4"/>
    <s v="Pinheirinho"/>
    <s v="Novo Mundo"/>
    <n v="6.5"/>
    <n v="2.2000000000000002"/>
    <x v="1"/>
  </r>
  <r>
    <d v="2026-03-09T00:00:00"/>
    <x v="1"/>
    <x v="223"/>
    <x v="6"/>
    <s v="Portão"/>
    <s v="Guaíra"/>
    <n v="6.5"/>
    <n v="2.1"/>
    <x v="1"/>
  </r>
  <r>
    <d v="2026-03-09T00:00:00"/>
    <x v="1"/>
    <x v="224"/>
    <x v="6"/>
    <s v="Portão"/>
    <s v="Portão"/>
    <n v="6.5"/>
    <n v="3"/>
    <x v="1"/>
  </r>
  <r>
    <d v="2026-03-10T00:00:00"/>
    <x v="1"/>
    <x v="225"/>
    <x v="7"/>
    <s v="Santa Quitéria"/>
    <s v="Campo Comprido"/>
    <n v="12"/>
    <n v="3.9"/>
    <x v="1"/>
  </r>
  <r>
    <d v="2026-03-10T00:00:00"/>
    <x v="1"/>
    <x v="127"/>
    <x v="4"/>
    <s v="Santa Quitéria"/>
    <s v="Santa Quitéria"/>
    <n v="10.9"/>
    <n v="2.6"/>
    <x v="1"/>
  </r>
  <r>
    <d v="2026-03-10T00:00:00"/>
    <x v="1"/>
    <x v="226"/>
    <x v="5"/>
    <s v="Água Verde"/>
    <s v="Água Verde"/>
    <n v="9.1999999999999993"/>
    <n v="2.8"/>
    <x v="1"/>
  </r>
  <r>
    <d v="2026-03-10T00:00:00"/>
    <x v="1"/>
    <x v="227"/>
    <x v="5"/>
    <s v="Água Verde"/>
    <s v="Guaíra"/>
    <n v="7.5"/>
    <n v="2.9"/>
    <x v="1"/>
  </r>
  <r>
    <d v="2026-03-10T00:00:00"/>
    <x v="1"/>
    <x v="228"/>
    <x v="8"/>
    <s v="Guaíra"/>
    <s v="Água Verde"/>
    <n v="6.9"/>
    <n v="0.6"/>
    <x v="2"/>
  </r>
  <r>
    <d v="2026-03-10T00:00:00"/>
    <x v="1"/>
    <x v="229"/>
    <x v="5"/>
    <s v="Água Verde"/>
    <s v="Água Verde"/>
    <n v="6.7"/>
    <n v="2.5"/>
    <x v="1"/>
  </r>
  <r>
    <d v="2026-03-10T00:00:00"/>
    <x v="1"/>
    <x v="230"/>
    <x v="7"/>
    <s v="Lindóia"/>
    <s v="Água Verde"/>
    <n v="6.6"/>
    <n v="2.7"/>
    <x v="1"/>
  </r>
  <r>
    <d v="2026-03-10T00:00:00"/>
    <x v="1"/>
    <x v="231"/>
    <x v="5"/>
    <s v="Água Verde"/>
    <s v="Parolin"/>
    <n v="6.5"/>
    <n v="1.7"/>
    <x v="2"/>
  </r>
  <r>
    <d v="2026-03-10T00:00:00"/>
    <x v="1"/>
    <x v="232"/>
    <x v="5"/>
    <s v="Centro"/>
    <s v="Água Verde"/>
    <n v="6.5"/>
    <n v="1.5"/>
    <x v="2"/>
  </r>
  <r>
    <d v="2026-03-10T00:00:00"/>
    <x v="1"/>
    <x v="191"/>
    <x v="5"/>
    <s v="Guaíra"/>
    <s v="Portão"/>
    <n v="6.5"/>
    <n v="2.2999999999999998"/>
    <x v="1"/>
  </r>
  <r>
    <d v="2026-03-10T00:00:00"/>
    <x v="1"/>
    <x v="233"/>
    <x v="6"/>
    <s v="Guaíra"/>
    <s v="Novo Mundo"/>
    <n v="6.5"/>
    <n v="1.2"/>
    <x v="2"/>
  </r>
  <r>
    <d v="2026-03-10T00:00:00"/>
    <x v="1"/>
    <x v="164"/>
    <x v="7"/>
    <s v="Novo Mundo"/>
    <s v="Novo Mundo"/>
    <n v="6.5"/>
    <n v="2.1"/>
    <x v="1"/>
  </r>
  <r>
    <d v="2026-03-10T00:00:00"/>
    <x v="1"/>
    <x v="189"/>
    <x v="7"/>
    <s v="Portão"/>
    <s v="Uberaba"/>
    <n v="6.5"/>
    <n v="2"/>
    <x v="2"/>
  </r>
  <r>
    <d v="2026-03-11T00:00:00"/>
    <x v="1"/>
    <x v="179"/>
    <x v="4"/>
    <s v="Fanny"/>
    <s v="Xaxim"/>
    <n v="16.7"/>
    <n v="7.4"/>
    <x v="0"/>
  </r>
  <r>
    <d v="2026-03-11T00:00:00"/>
    <x v="1"/>
    <x v="234"/>
    <x v="6"/>
    <s v="Parolin"/>
    <s v="Boqueirão"/>
    <n v="13.6"/>
    <n v="6.5"/>
    <x v="0"/>
  </r>
  <r>
    <d v="2026-03-11T00:00:00"/>
    <x v="1"/>
    <x v="235"/>
    <x v="4"/>
    <s v="Boqueirão"/>
    <s v="Parolin"/>
    <n v="12.6"/>
    <n v="2.2999999999999998"/>
    <x v="1"/>
  </r>
  <r>
    <d v="2026-03-11T00:00:00"/>
    <x v="1"/>
    <x v="236"/>
    <x v="7"/>
    <s v="Capão Raso"/>
    <s v="Boqueirão"/>
    <n v="10.199999999999999"/>
    <n v="5"/>
    <x v="0"/>
  </r>
  <r>
    <d v="2026-03-11T00:00:00"/>
    <x v="1"/>
    <x v="224"/>
    <x v="6"/>
    <s v="Boqueirão"/>
    <s v="Fanny"/>
    <n v="9.1"/>
    <n v="4.4000000000000004"/>
    <x v="0"/>
  </r>
  <r>
    <d v="2026-03-11T00:00:00"/>
    <x v="1"/>
    <x v="237"/>
    <x v="4"/>
    <s v="Parolin"/>
    <s v="Boqueirão"/>
    <n v="8.3000000000000007"/>
    <n v="1.4"/>
    <x v="2"/>
  </r>
  <r>
    <d v="2026-03-11T00:00:00"/>
    <x v="1"/>
    <x v="181"/>
    <x v="7"/>
    <s v="Boqueirão"/>
    <s v="Guaíra"/>
    <n v="7.7"/>
    <n v="2.2999999999999998"/>
    <x v="1"/>
  </r>
  <r>
    <d v="2026-03-11T00:00:00"/>
    <x v="1"/>
    <x v="238"/>
    <x v="5"/>
    <s v="Guaíra"/>
    <s v="Boqueirão"/>
    <n v="7.56"/>
    <n v="3.8"/>
    <x v="1"/>
  </r>
  <r>
    <d v="2026-03-11T00:00:00"/>
    <x v="1"/>
    <x v="161"/>
    <x v="7"/>
    <s v="Boqueirão"/>
    <s v="Parolin"/>
    <n v="7"/>
    <n v="1.2"/>
    <x v="2"/>
  </r>
  <r>
    <d v="2026-03-11T00:00:00"/>
    <x v="1"/>
    <x v="239"/>
    <x v="5"/>
    <s v="Guaíra"/>
    <s v="Xaxim"/>
    <n v="7"/>
    <n v="0.9"/>
    <x v="2"/>
  </r>
  <r>
    <d v="2026-03-11T00:00:00"/>
    <x v="1"/>
    <x v="240"/>
    <x v="6"/>
    <s v="Xaxim"/>
    <s v="Boqueirão"/>
    <n v="6.8"/>
    <n v="1.6"/>
    <x v="2"/>
  </r>
  <r>
    <d v="2026-03-11T00:00:00"/>
    <x v="1"/>
    <x v="241"/>
    <x v="7"/>
    <s v="Boqueirão"/>
    <s v="Hauer"/>
    <n v="6.6"/>
    <n v="1.9"/>
    <x v="2"/>
  </r>
  <r>
    <d v="2026-03-11T00:00:00"/>
    <x v="1"/>
    <x v="186"/>
    <x v="5"/>
    <s v="Boqueirão"/>
    <s v="Xaxim"/>
    <n v="6.5"/>
    <n v="2.1"/>
    <x v="1"/>
  </r>
  <r>
    <d v="2026-03-11T00:00:00"/>
    <x v="1"/>
    <x v="242"/>
    <x v="7"/>
    <s v="Boqueirão"/>
    <s v="Xaxim"/>
    <n v="6.5"/>
    <n v="1.6"/>
    <x v="2"/>
  </r>
  <r>
    <d v="2026-03-11T00:00:00"/>
    <x v="1"/>
    <x v="243"/>
    <x v="6"/>
    <s v="Boqueirão"/>
    <s v="Lindóia"/>
    <n v="6.5"/>
    <n v="1.6"/>
    <x v="2"/>
  </r>
  <r>
    <d v="2026-03-11T00:00:00"/>
    <x v="1"/>
    <x v="231"/>
    <x v="5"/>
    <s v="Lindóia"/>
    <s v="Hauer"/>
    <n v="6.5"/>
    <n v="0.6"/>
    <x v="2"/>
  </r>
  <r>
    <d v="2026-03-12T00:00:00"/>
    <x v="1"/>
    <x v="142"/>
    <x v="7"/>
    <s v="Alto Boqueirão"/>
    <s v="Boqueirão"/>
    <n v="12.7"/>
    <n v="7.2"/>
    <x v="0"/>
  </r>
  <r>
    <d v="2026-03-12T00:00:00"/>
    <x v="1"/>
    <x v="208"/>
    <x v="4"/>
    <s v="Xaxim"/>
    <s v="Boqueirão"/>
    <n v="12.1"/>
    <n v="5.2"/>
    <x v="0"/>
  </r>
  <r>
    <d v="2026-03-12T00:00:00"/>
    <x v="1"/>
    <x v="244"/>
    <x v="7"/>
    <s v="Hauer"/>
    <s v="Parolin"/>
    <n v="9.1999999999999993"/>
    <n v="3.1"/>
    <x v="1"/>
  </r>
  <r>
    <d v="2026-03-12T00:00:00"/>
    <x v="1"/>
    <x v="137"/>
    <x v="6"/>
    <s v="Hauer"/>
    <s v="Rebouças"/>
    <n v="9"/>
    <n v="3.7"/>
    <x v="1"/>
  </r>
  <r>
    <d v="2026-03-12T00:00:00"/>
    <x v="1"/>
    <x v="245"/>
    <x v="6"/>
    <s v="Rebouças"/>
    <s v="Guaíra"/>
    <n v="8.1"/>
    <n v="2.8"/>
    <x v="1"/>
  </r>
  <r>
    <d v="2026-03-12T00:00:00"/>
    <x v="1"/>
    <x v="186"/>
    <x v="5"/>
    <s v="Água Verde"/>
    <s v="Lindóia"/>
    <n v="7.7"/>
    <n v="3.5"/>
    <x v="1"/>
  </r>
  <r>
    <d v="2026-03-12T00:00:00"/>
    <x v="1"/>
    <x v="246"/>
    <x v="5"/>
    <s v="Lindóia"/>
    <s v="Alto Boqueirão"/>
    <n v="7.4"/>
    <n v="3"/>
    <x v="1"/>
  </r>
  <r>
    <d v="2026-03-12T00:00:00"/>
    <x v="1"/>
    <x v="247"/>
    <x v="4"/>
    <s v="Boqueirão"/>
    <s v="Alto Boqueirão"/>
    <n v="7.3"/>
    <n v="3.7"/>
    <x v="1"/>
  </r>
  <r>
    <d v="2026-03-12T00:00:00"/>
    <x v="1"/>
    <x v="248"/>
    <x v="7"/>
    <s v="Alto Boqueirão"/>
    <s v="Hauer"/>
    <n v="7.1"/>
    <n v="1.9"/>
    <x v="2"/>
  </r>
  <r>
    <d v="2026-03-12T00:00:00"/>
    <x v="1"/>
    <x v="196"/>
    <x v="4"/>
    <s v="Fanny"/>
    <s v="Portão"/>
    <n v="7.1"/>
    <n v="1.9"/>
    <x v="2"/>
  </r>
  <r>
    <d v="2026-03-12T00:00:00"/>
    <x v="1"/>
    <x v="249"/>
    <x v="5"/>
    <s v="Guaíra"/>
    <s v="Fanny"/>
    <n v="6.7"/>
    <n v="2.1"/>
    <x v="1"/>
  </r>
  <r>
    <d v="2026-03-12T00:00:00"/>
    <x v="1"/>
    <x v="182"/>
    <x v="5"/>
    <s v="Guaíra"/>
    <s v="Vila izabel"/>
    <n v="6.7"/>
    <n v="2.1"/>
    <x v="1"/>
  </r>
  <r>
    <d v="2026-03-12T00:00:00"/>
    <x v="1"/>
    <x v="175"/>
    <x v="8"/>
    <s v="Água Verde"/>
    <s v="Centro"/>
    <n v="6.6"/>
    <n v="1.8"/>
    <x v="2"/>
  </r>
  <r>
    <d v="2026-03-12T00:00:00"/>
    <x v="1"/>
    <x v="250"/>
    <x v="6"/>
    <s v="Água Verde"/>
    <s v="Xaxim"/>
    <n v="6.6"/>
    <n v="2.1"/>
    <x v="1"/>
  </r>
  <r>
    <d v="2026-03-12T00:00:00"/>
    <x v="1"/>
    <x v="251"/>
    <x v="4"/>
    <s v="Boqueirão"/>
    <s v="Novo Mundo"/>
    <n v="6.6"/>
    <n v="0.7"/>
    <x v="2"/>
  </r>
  <r>
    <d v="2026-03-12T00:00:00"/>
    <x v="1"/>
    <x v="252"/>
    <x v="8"/>
    <s v="Guaíra"/>
    <s v="Rebouças"/>
    <n v="6.6"/>
    <n v="3.5"/>
    <x v="1"/>
  </r>
  <r>
    <d v="2026-03-12T00:00:00"/>
    <x v="1"/>
    <x v="193"/>
    <x v="5"/>
    <s v="Guaíra"/>
    <s v="Centro"/>
    <n v="6.6"/>
    <n v="3"/>
    <x v="1"/>
  </r>
  <r>
    <d v="2026-03-12T00:00:00"/>
    <x v="1"/>
    <x v="253"/>
    <x v="6"/>
    <s v="Rebouças"/>
    <s v="Água Verde"/>
    <n v="6.6"/>
    <n v="1.5"/>
    <x v="2"/>
  </r>
  <r>
    <d v="2026-03-12T00:00:00"/>
    <x v="1"/>
    <x v="254"/>
    <x v="8"/>
    <s v="Água Verde"/>
    <s v="Centro"/>
    <n v="6.5"/>
    <n v="0.6"/>
    <x v="2"/>
  </r>
  <r>
    <d v="2026-03-12T00:00:00"/>
    <x v="1"/>
    <x v="255"/>
    <x v="6"/>
    <s v="Centro"/>
    <s v="Rebouças"/>
    <n v="6.5"/>
    <n v="2.4"/>
    <x v="1"/>
  </r>
  <r>
    <d v="2026-03-12T00:00:00"/>
    <x v="1"/>
    <x v="256"/>
    <x v="9"/>
    <s v="Centro"/>
    <s v="Lindóia"/>
    <n v="6.5"/>
    <n v="2.2999999999999998"/>
    <x v="1"/>
  </r>
  <r>
    <d v="2026-03-12T00:00:00"/>
    <x v="1"/>
    <x v="215"/>
    <x v="8"/>
    <s v="Parolin"/>
    <s v="Guaíra"/>
    <n v="6.5"/>
    <n v="2.2999999999999998"/>
    <x v="1"/>
  </r>
  <r>
    <d v="2026-03-12T00:00:00"/>
    <x v="1"/>
    <x v="217"/>
    <x v="8"/>
    <s v="Parolin"/>
    <s v="Guaíra"/>
    <n v="6.5"/>
    <n v="2.1"/>
    <x v="1"/>
  </r>
  <r>
    <d v="2026-03-13T00:00:00"/>
    <x v="1"/>
    <x v="257"/>
    <x v="4"/>
    <s v="Hauer"/>
    <s v="Novo Mundo"/>
    <n v="29.6"/>
    <n v="8.6"/>
    <x v="0"/>
  </r>
  <r>
    <d v="2026-03-13T00:00:00"/>
    <x v="1"/>
    <x v="258"/>
    <x v="7"/>
    <s v="Seminário"/>
    <s v="Boqueirão"/>
    <n v="15.7"/>
    <n v="4.5"/>
    <x v="0"/>
  </r>
  <r>
    <d v="2026-03-13T00:00:00"/>
    <x v="1"/>
    <x v="209"/>
    <x v="5"/>
    <s v="Boqueirão"/>
    <s v="Jardim Botânico"/>
    <n v="11.5"/>
    <n v="4.2"/>
    <x v="0"/>
  </r>
  <r>
    <d v="2026-03-13T00:00:00"/>
    <x v="1"/>
    <x v="139"/>
    <x v="6"/>
    <s v="Centro"/>
    <s v="Portão"/>
    <n v="11.27"/>
    <n v="4.2"/>
    <x v="0"/>
  </r>
  <r>
    <d v="2026-03-13T00:00:00"/>
    <x v="1"/>
    <x v="210"/>
    <x v="7"/>
    <s v="Guaíra"/>
    <s v="Rebouças"/>
    <n v="9.5"/>
    <n v="2.2999999999999998"/>
    <x v="1"/>
  </r>
  <r>
    <d v="2026-03-13T00:00:00"/>
    <x v="1"/>
    <x v="200"/>
    <x v="6"/>
    <s v="Parolin"/>
    <s v="Água Verde"/>
    <n v="9.3000000000000007"/>
    <n v="4.4000000000000004"/>
    <x v="0"/>
  </r>
  <r>
    <d v="2026-03-13T00:00:00"/>
    <x v="1"/>
    <x v="198"/>
    <x v="7"/>
    <s v="Água Verde"/>
    <s v="Rebouças"/>
    <n v="7.7"/>
    <n v="1.7"/>
    <x v="2"/>
  </r>
  <r>
    <d v="2026-03-13T00:00:00"/>
    <x v="1"/>
    <x v="203"/>
    <x v="6"/>
    <s v="Prado Velho"/>
    <s v="Guaíra"/>
    <n v="7.6"/>
    <n v="2.5"/>
    <x v="1"/>
  </r>
  <r>
    <d v="2026-03-13T00:00:00"/>
    <x v="1"/>
    <x v="259"/>
    <x v="4"/>
    <s v="Parolin"/>
    <s v="Lindóia"/>
    <n v="7.5"/>
    <n v="1.4"/>
    <x v="2"/>
  </r>
  <r>
    <d v="2026-03-13T00:00:00"/>
    <x v="1"/>
    <x v="146"/>
    <x v="6"/>
    <s v="Portão"/>
    <s v="São Francisco"/>
    <n v="7.35"/>
    <n v="2.4"/>
    <x v="1"/>
  </r>
  <r>
    <d v="2026-03-13T00:00:00"/>
    <x v="1"/>
    <x v="205"/>
    <x v="6"/>
    <s v="Rebouças"/>
    <s v="Guaíra"/>
    <n v="7.2"/>
    <n v="1.8"/>
    <x v="2"/>
  </r>
  <r>
    <d v="2026-03-13T00:00:00"/>
    <x v="1"/>
    <x v="260"/>
    <x v="4"/>
    <s v="Guaíra"/>
    <s v="Água Verde"/>
    <n v="7"/>
    <n v="1.6"/>
    <x v="2"/>
  </r>
  <r>
    <d v="2026-03-13T00:00:00"/>
    <x v="1"/>
    <x v="261"/>
    <x v="4"/>
    <s v="Guaíra"/>
    <s v="Cidade Industrial de Curitiba"/>
    <n v="6.9"/>
    <n v="2.1"/>
    <x v="1"/>
  </r>
  <r>
    <d v="2026-03-16T00:00:00"/>
    <x v="1"/>
    <x v="262"/>
    <x v="4"/>
    <s v="Portão"/>
    <s v="Água Verde"/>
    <n v="21.8"/>
    <n v="7.1"/>
    <x v="0"/>
  </r>
  <r>
    <d v="2026-03-16T00:00:00"/>
    <x v="1"/>
    <x v="207"/>
    <x v="4"/>
    <s v="Parolin"/>
    <s v="Parolin"/>
    <n v="10"/>
    <n v="3.6"/>
    <x v="1"/>
  </r>
  <r>
    <d v="2026-03-16T00:00:00"/>
    <x v="1"/>
    <x v="263"/>
    <x v="5"/>
    <s v="Portão"/>
    <s v="Novo Mundo"/>
    <n v="8"/>
    <n v="2.8"/>
    <x v="1"/>
  </r>
  <r>
    <d v="2026-03-16T00:00:00"/>
    <x v="1"/>
    <x v="264"/>
    <x v="7"/>
    <s v="Fazendinha"/>
    <s v="Guaíra"/>
    <n v="7.9"/>
    <n v="3.3"/>
    <x v="1"/>
  </r>
  <r>
    <d v="2026-03-16T00:00:00"/>
    <x v="1"/>
    <x v="265"/>
    <x v="4"/>
    <s v="Portão"/>
    <s v="Hauer"/>
    <n v="7.88"/>
    <n v="2.6"/>
    <x v="1"/>
  </r>
  <r>
    <d v="2026-03-16T00:00:00"/>
    <x v="1"/>
    <x v="266"/>
    <x v="8"/>
    <s v="Fanny"/>
    <s v="Capão Raso"/>
    <n v="7.6"/>
    <n v="3.6"/>
    <x v="1"/>
  </r>
  <r>
    <d v="2026-03-16T00:00:00"/>
    <x v="1"/>
    <x v="124"/>
    <x v="6"/>
    <s v="Cidade Industrial de Curitiba"/>
    <s v="Hauer"/>
    <n v="7.59"/>
    <n v="2.1"/>
    <x v="1"/>
  </r>
  <r>
    <d v="2026-03-16T00:00:00"/>
    <x v="1"/>
    <x v="154"/>
    <x v="8"/>
    <s v="Hauer"/>
    <s v="Portão"/>
    <n v="7.3"/>
    <n v="1"/>
    <x v="2"/>
  </r>
  <r>
    <d v="2026-03-16T00:00:00"/>
    <x v="1"/>
    <x v="208"/>
    <x v="4"/>
    <s v="Guaíra"/>
    <s v="Guaíra"/>
    <n v="7.1"/>
    <n v="2.5"/>
    <x v="1"/>
  </r>
  <r>
    <d v="2026-03-16T00:00:00"/>
    <x v="1"/>
    <x v="267"/>
    <x v="5"/>
    <s v="Fanny"/>
    <s v="Fazendinha"/>
    <n v="6.9"/>
    <n v="1.6"/>
    <x v="2"/>
  </r>
  <r>
    <d v="2026-03-16T00:00:00"/>
    <x v="1"/>
    <x v="162"/>
    <x v="7"/>
    <s v="Fazendinha"/>
    <s v="Fanny"/>
    <n v="6.9"/>
    <n v="1.2"/>
    <x v="2"/>
  </r>
  <r>
    <d v="2026-03-16T00:00:00"/>
    <x v="1"/>
    <x v="226"/>
    <x v="5"/>
    <s v="Guaíra"/>
    <s v="Fazendinha"/>
    <n v="6.9"/>
    <n v="1.5"/>
    <x v="2"/>
  </r>
  <r>
    <d v="2026-03-16T00:00:00"/>
    <x v="1"/>
    <x v="141"/>
    <x v="7"/>
    <s v="Cidade Industrial de Curitiba"/>
    <s v="Água Verde"/>
    <n v="6.7"/>
    <n v="2.2999999999999998"/>
    <x v="1"/>
  </r>
  <r>
    <d v="2026-03-16T00:00:00"/>
    <x v="1"/>
    <x v="268"/>
    <x v="5"/>
    <s v="Fanny"/>
    <s v="Fazendinha"/>
    <n v="6.5"/>
    <n v="2.8"/>
    <x v="1"/>
  </r>
  <r>
    <d v="2026-03-16T00:00:00"/>
    <x v="1"/>
    <x v="269"/>
    <x v="7"/>
    <s v="Fazendinha"/>
    <s v="Lindóia"/>
    <n v="6.5"/>
    <n v="1.6"/>
    <x v="2"/>
  </r>
  <r>
    <d v="2026-03-16T00:00:00"/>
    <x v="1"/>
    <x v="227"/>
    <x v="5"/>
    <s v="Guaíra"/>
    <s v="Hauer"/>
    <n v="6.5"/>
    <n v="2.2999999999999998"/>
    <x v="1"/>
  </r>
  <r>
    <d v="2026-03-16T00:00:00"/>
    <x v="1"/>
    <x v="220"/>
    <x v="8"/>
    <s v="Hauer"/>
    <s v="Hauer"/>
    <n v="6.5"/>
    <n v="2.2000000000000002"/>
    <x v="1"/>
  </r>
  <r>
    <d v="2026-03-16T00:00:00"/>
    <x v="1"/>
    <x v="270"/>
    <x v="8"/>
    <s v="Hauer"/>
    <s v="Parolin"/>
    <n v="6.5"/>
    <n v="1.6"/>
    <x v="2"/>
  </r>
  <r>
    <d v="2026-03-16T00:00:00"/>
    <x v="1"/>
    <x v="271"/>
    <x v="8"/>
    <s v="Hauer"/>
    <m/>
    <n v="6.5"/>
    <n v="1.9"/>
    <x v="2"/>
  </r>
  <r>
    <d v="2026-03-17T00:00:00"/>
    <x v="1"/>
    <x v="272"/>
    <x v="10"/>
    <s v=""/>
    <s v="Guaíra"/>
    <m/>
    <m/>
    <x v="2"/>
  </r>
  <r>
    <d v="2026-03-18T00:00:00"/>
    <x v="1"/>
    <x v="273"/>
    <x v="4"/>
    <s v="Guabirotuba"/>
    <s v="Xaxim"/>
    <n v="17.2"/>
    <n v="5.6"/>
    <x v="0"/>
  </r>
  <r>
    <d v="2026-03-18T00:00:00"/>
    <x v="1"/>
    <x v="211"/>
    <x v="7"/>
    <s v="Hauer"/>
    <s v="Boqueirão"/>
    <n v="17"/>
    <n v="4.9000000000000004"/>
    <x v="0"/>
  </r>
  <r>
    <d v="2026-03-18T00:00:00"/>
    <x v="1"/>
    <x v="200"/>
    <x v="6"/>
    <s v="Xaxim"/>
    <s v="Xaxim"/>
    <n v="11.6"/>
    <n v="5"/>
    <x v="0"/>
  </r>
  <r>
    <d v="2026-03-18T00:00:00"/>
    <x v="1"/>
    <x v="274"/>
    <x v="6"/>
    <s v="Boqueirão"/>
    <s v="Uberaba"/>
    <n v="10.3"/>
    <n v="3.9"/>
    <x v="1"/>
  </r>
  <r>
    <d v="2026-03-18T00:00:00"/>
    <x v="1"/>
    <x v="275"/>
    <x v="4"/>
    <s v="Hauer"/>
    <s v="Hauer"/>
    <n v="10"/>
    <n v="2.9"/>
    <x v="1"/>
  </r>
  <r>
    <d v="2026-03-18T00:00:00"/>
    <x v="1"/>
    <x v="209"/>
    <x v="5"/>
    <s v="Hauer"/>
    <s v="Xaxim"/>
    <n v="8.8000000000000007"/>
    <n v="1.3"/>
    <x v="2"/>
  </r>
  <r>
    <d v="2026-03-18T00:00:00"/>
    <x v="1"/>
    <x v="276"/>
    <x v="6"/>
    <s v="Boqueirão"/>
    <s v="Lindóia"/>
    <n v="8.5"/>
    <n v="3.8"/>
    <x v="1"/>
  </r>
  <r>
    <d v="2026-03-18T00:00:00"/>
    <x v="1"/>
    <x v="277"/>
    <x v="4"/>
    <s v="Parolin"/>
    <s v="Hauer"/>
    <n v="8.3000000000000007"/>
    <n v="1.9"/>
    <x v="2"/>
  </r>
  <r>
    <d v="2026-03-18T00:00:00"/>
    <x v="1"/>
    <x v="278"/>
    <x v="7"/>
    <s v="Boqueirão"/>
    <s v="Xaxim"/>
    <n v="8"/>
    <n v="2"/>
    <x v="2"/>
  </r>
  <r>
    <d v="2026-03-18T00:00:00"/>
    <x v="1"/>
    <x v="279"/>
    <x v="7"/>
    <s v="Xaxim"/>
    <s v="Hauer"/>
    <n v="6.9"/>
    <n v="0.7"/>
    <x v="2"/>
  </r>
  <r>
    <d v="2026-03-18T00:00:00"/>
    <x v="1"/>
    <x v="280"/>
    <x v="5"/>
    <s v="Boqueirão"/>
    <s v="Hauer"/>
    <n v="6.5"/>
    <n v="2.2000000000000002"/>
    <x v="1"/>
  </r>
  <r>
    <d v="2026-03-18T00:00:00"/>
    <x v="1"/>
    <x v="281"/>
    <x v="4"/>
    <s v="Boqueirão"/>
    <s v="Hauer"/>
    <n v="6.5"/>
    <n v="2.2000000000000002"/>
    <x v="1"/>
  </r>
  <r>
    <d v="2026-03-18T00:00:00"/>
    <x v="1"/>
    <x v="282"/>
    <x v="5"/>
    <s v="Guabirotuba"/>
    <s v="Boqueirão"/>
    <n v="6.5"/>
    <n v="1.3"/>
    <x v="2"/>
  </r>
  <r>
    <d v="2026-03-18T00:00:00"/>
    <x v="1"/>
    <x v="193"/>
    <x v="5"/>
    <s v="Hauer"/>
    <s v="Hauer"/>
    <n v="6.5"/>
    <n v="1.1000000000000001"/>
    <x v="2"/>
  </r>
  <r>
    <d v="2026-03-18T00:00:00"/>
    <x v="1"/>
    <x v="283"/>
    <x v="5"/>
    <s v="Hauer"/>
    <s v="Hauer"/>
    <n v="6.5"/>
    <n v="1.2"/>
    <x v="2"/>
  </r>
  <r>
    <d v="2026-03-18T00:00:00"/>
    <x v="1"/>
    <x v="180"/>
    <x v="7"/>
    <s v="Hauer"/>
    <s v="Xaxim"/>
    <n v="6.5"/>
    <n v="1"/>
    <x v="2"/>
  </r>
  <r>
    <d v="2026-03-18T00:00:00"/>
    <x v="1"/>
    <x v="258"/>
    <x v="7"/>
    <s v="Xaxim"/>
    <s v="Boqueirão"/>
    <n v="6.5"/>
    <n v="0.9"/>
    <x v="2"/>
  </r>
  <r>
    <d v="2026-03-19T00:00:00"/>
    <x v="1"/>
    <x v="284"/>
    <x v="8"/>
    <s v="Hauer"/>
    <s v="Boqueirão"/>
    <n v="10.1"/>
    <n v="5.0999999999999996"/>
    <x v="0"/>
  </r>
  <r>
    <d v="2026-03-19T00:00:00"/>
    <x v="1"/>
    <x v="285"/>
    <x v="5"/>
    <s v="Boqueirão"/>
    <s v="Boqueirão"/>
    <n v="7.6"/>
    <n v="4"/>
    <x v="1"/>
  </r>
  <r>
    <d v="2026-03-19T00:00:00"/>
    <x v="1"/>
    <x v="170"/>
    <x v="5"/>
    <s v="Hauer"/>
    <s v="Alto Boqueirão"/>
    <n v="7.6"/>
    <n v="3.4"/>
    <x v="1"/>
  </r>
  <r>
    <d v="2026-03-19T00:00:00"/>
    <x v="1"/>
    <x v="207"/>
    <x v="4"/>
    <s v="Boqueirão"/>
    <s v="Xaxim"/>
    <n v="7.47"/>
    <n v="2.2000000000000002"/>
    <x v="1"/>
  </r>
  <r>
    <d v="2026-03-19T00:00:00"/>
    <x v="1"/>
    <x v="200"/>
    <x v="6"/>
    <s v="Sítio Cercado"/>
    <s v="Boqueirão"/>
    <n v="7.24"/>
    <n v="2.5"/>
    <x v="1"/>
  </r>
  <r>
    <d v="2026-03-19T00:00:00"/>
    <x v="1"/>
    <x v="182"/>
    <x v="5"/>
    <s v="Boqueirão"/>
    <s v="Hauer"/>
    <n v="7.1"/>
    <n v="3.1"/>
    <x v="1"/>
  </r>
  <r>
    <d v="2026-03-19T00:00:00"/>
    <x v="1"/>
    <x v="179"/>
    <x v="4"/>
    <s v="Boqueirão"/>
    <s v="Boqueirão"/>
    <n v="7.1"/>
    <n v="2.8"/>
    <x v="1"/>
  </r>
  <r>
    <d v="2026-03-19T00:00:00"/>
    <x v="1"/>
    <x v="286"/>
    <x v="5"/>
    <s v="Hauer"/>
    <s v="Boqueirão"/>
    <n v="6.9"/>
    <n v="2.6"/>
    <x v="1"/>
  </r>
  <r>
    <d v="2026-03-19T00:00:00"/>
    <x v="1"/>
    <x v="283"/>
    <x v="5"/>
    <s v="Boqueirão"/>
    <s v="Xaxim"/>
    <n v="6.8"/>
    <n v="2.2000000000000002"/>
    <x v="1"/>
  </r>
  <r>
    <d v="2026-03-19T00:00:00"/>
    <x v="1"/>
    <x v="287"/>
    <x v="4"/>
    <s v="Boqueirão"/>
    <s v="Sítio Cercado"/>
    <n v="6.7"/>
    <n v="2.2000000000000002"/>
    <x v="1"/>
  </r>
  <r>
    <d v="2026-03-19T00:00:00"/>
    <x v="1"/>
    <x v="151"/>
    <x v="4"/>
    <s v="Xaxim"/>
    <s v="Sítio Cercado"/>
    <n v="6.7"/>
    <n v="2.2000000000000002"/>
    <x v="1"/>
  </r>
  <r>
    <d v="2026-03-19T00:00:00"/>
    <x v="1"/>
    <x v="211"/>
    <x v="7"/>
    <s v="Sítio Cercado"/>
    <s v="Sítio Cercado"/>
    <n v="6.6"/>
    <n v="2.5"/>
    <x v="1"/>
  </r>
  <r>
    <d v="2026-03-19T00:00:00"/>
    <x v="1"/>
    <x v="221"/>
    <x v="7"/>
    <s v="Sítio Cercado"/>
    <s v="Hauer"/>
    <n v="6.6"/>
    <n v="2.6"/>
    <x v="1"/>
  </r>
  <r>
    <d v="2026-03-19T00:00:00"/>
    <x v="1"/>
    <x v="288"/>
    <x v="8"/>
    <s v="Xaxim"/>
    <s v="Novo Mundo"/>
    <n v="6.6"/>
    <n v="2.7"/>
    <x v="1"/>
  </r>
  <r>
    <d v="2026-03-19T00:00:00"/>
    <x v="1"/>
    <x v="215"/>
    <x v="8"/>
    <s v="Fanny"/>
    <s v="Hauer"/>
    <n v="6.5"/>
    <n v="2"/>
    <x v="2"/>
  </r>
  <r>
    <d v="2026-03-19T00:00:00"/>
    <x v="1"/>
    <x v="132"/>
    <x v="8"/>
    <s v="Hauer"/>
    <s v="Novo Mundo"/>
    <n v="6.5"/>
    <n v="2.6"/>
    <x v="1"/>
  </r>
  <r>
    <d v="2026-03-19T00:00:00"/>
    <x v="1"/>
    <x v="289"/>
    <x v="8"/>
    <s v="Lindóia"/>
    <s v="Portão"/>
    <n v="6.5"/>
    <n v="2.5"/>
    <x v="1"/>
  </r>
  <r>
    <d v="2026-03-19T00:00:00"/>
    <x v="1"/>
    <x v="290"/>
    <x v="8"/>
    <s v="Novo Mundo"/>
    <s v="Sítio Cercado"/>
    <n v="6.5"/>
    <n v="1.8"/>
    <x v="2"/>
  </r>
  <r>
    <d v="2026-03-19T00:00:00"/>
    <x v="1"/>
    <x v="291"/>
    <x v="7"/>
    <s v="Sítio Cercado"/>
    <s v="Sítio Cercado"/>
    <n v="6.5"/>
    <n v="1.8"/>
    <x v="2"/>
  </r>
  <r>
    <d v="2026-03-19T00:00:00"/>
    <x v="1"/>
    <x v="292"/>
    <x v="7"/>
    <s v="Sítio Cercado"/>
    <s v="Sítio Cercado"/>
    <n v="6.5"/>
    <n v="2"/>
    <x v="2"/>
  </r>
  <r>
    <d v="2026-03-19T00:00:00"/>
    <x v="1"/>
    <x v="293"/>
    <x v="7"/>
    <s v="Sítio Cercado"/>
    <s v="Sítio Cercado"/>
    <n v="6.5"/>
    <n v="1.1000000000000001"/>
    <x v="2"/>
  </r>
  <r>
    <d v="2026-03-19T00:00:00"/>
    <x v="1"/>
    <x v="294"/>
    <x v="6"/>
    <s v="Sítio Cercado"/>
    <s v="Hauer"/>
    <n v="6.5"/>
    <n v="2.5"/>
    <x v="1"/>
  </r>
  <r>
    <d v="2026-03-19T00:00:00"/>
    <x v="1"/>
    <x v="175"/>
    <x v="8"/>
    <s v="Xaxim"/>
    <s v="Xaxim"/>
    <n v="6.5"/>
    <n v="1.4"/>
    <x v="2"/>
  </r>
  <r>
    <d v="2026-03-19T00:00:00"/>
    <x v="1"/>
    <x v="295"/>
    <x v="6"/>
    <s v="Xaxim"/>
    <s v="Xaxim"/>
    <n v="6.5"/>
    <n v="2.5"/>
    <x v="1"/>
  </r>
  <r>
    <d v="2026-03-19T00:00:00"/>
    <x v="1"/>
    <x v="296"/>
    <x v="6"/>
    <s v="Xaxim"/>
    <s v="Capão Raso"/>
    <n v="6.5"/>
    <n v="1"/>
    <x v="2"/>
  </r>
  <r>
    <d v="2026-03-20T00:00:00"/>
    <x v="1"/>
    <x v="297"/>
    <x v="7"/>
    <s v="Capão Raso"/>
    <s v="Fanny"/>
    <n v="22.28"/>
    <n v="6.9"/>
    <x v="0"/>
  </r>
  <r>
    <d v="2026-03-20T00:00:00"/>
    <x v="1"/>
    <x v="298"/>
    <x v="5"/>
    <s v="Água Verde"/>
    <s v="Fanny"/>
    <n v="17.100000000000001"/>
    <n v="5.0999999999999996"/>
    <x v="0"/>
  </r>
  <r>
    <d v="2026-03-20T00:00:00"/>
    <x v="1"/>
    <x v="281"/>
    <x v="4"/>
    <s v="Novo Mundo"/>
    <s v="Fanny"/>
    <n v="9.9"/>
    <n v="2.6"/>
    <x v="1"/>
  </r>
  <r>
    <d v="2026-03-20T00:00:00"/>
    <x v="1"/>
    <x v="299"/>
    <x v="8"/>
    <s v="Parolin"/>
    <s v="Capão Raso"/>
    <n v="9.8000000000000007"/>
    <n v="2.2999999999999998"/>
    <x v="1"/>
  </r>
  <r>
    <d v="2026-03-20T00:00:00"/>
    <x v="1"/>
    <x v="247"/>
    <x v="4"/>
    <s v="Novo Mundo"/>
    <s v="Guaíra"/>
    <n v="9.1"/>
    <n v="2.7"/>
    <x v="1"/>
  </r>
  <r>
    <d v="2026-03-20T00:00:00"/>
    <x v="1"/>
    <x v="237"/>
    <x v="4"/>
    <s v="Novo Mundo"/>
    <s v="Parolin"/>
    <n v="8.9"/>
    <n v="0.8"/>
    <x v="2"/>
  </r>
  <r>
    <d v="2026-03-20T00:00:00"/>
    <x v="1"/>
    <x v="300"/>
    <x v="4"/>
    <s v="Lindóia"/>
    <s v="Capão Raso"/>
    <n v="8.6999999999999993"/>
    <n v="2.1"/>
    <x v="1"/>
  </r>
  <r>
    <d v="2026-03-20T00:00:00"/>
    <x v="1"/>
    <x v="301"/>
    <x v="7"/>
    <s v="Novo Mundo"/>
    <s v="Lindóia"/>
    <n v="8"/>
    <n v="1"/>
    <x v="2"/>
  </r>
  <r>
    <d v="2026-03-20T00:00:00"/>
    <x v="1"/>
    <x v="300"/>
    <x v="4"/>
    <s v="Guaíra"/>
    <s v="Água Verde"/>
    <n v="7.9"/>
    <n v="2"/>
    <x v="2"/>
  </r>
  <r>
    <d v="2026-03-20T00:00:00"/>
    <x v="1"/>
    <x v="302"/>
    <x v="8"/>
    <s v="Fanny"/>
    <s v="Água Verde"/>
    <n v="7.7"/>
    <n v="3.7"/>
    <x v="1"/>
  </r>
  <r>
    <d v="2026-03-20T00:00:00"/>
    <x v="1"/>
    <x v="282"/>
    <x v="5"/>
    <s v="Água Verde"/>
    <s v="Água Verde"/>
    <n v="7.5"/>
    <n v="2.5"/>
    <x v="1"/>
  </r>
  <r>
    <d v="2026-03-20T00:00:00"/>
    <x v="1"/>
    <x v="303"/>
    <x v="8"/>
    <s v="Portão"/>
    <s v="Lindóia"/>
    <n v="7.1"/>
    <n v="2.2999999999999998"/>
    <x v="1"/>
  </r>
  <r>
    <d v="2026-03-20T00:00:00"/>
    <x v="1"/>
    <x v="304"/>
    <x v="5"/>
    <s v="Novo Mundo"/>
    <s v="Água Verde"/>
    <n v="6.9"/>
    <n v="0.8"/>
    <x v="2"/>
  </r>
  <r>
    <d v="2026-03-20T00:00:00"/>
    <x v="1"/>
    <x v="305"/>
    <x v="8"/>
    <s v="Água Verde"/>
    <s v="Novo Mundo"/>
    <n v="6.5"/>
    <n v="2.2999999999999998"/>
    <x v="1"/>
  </r>
  <r>
    <d v="2026-03-20T00:00:00"/>
    <x v="1"/>
    <x v="306"/>
    <x v="5"/>
    <s v="Fanny"/>
    <s v="Lindóia"/>
    <n v="6.5"/>
    <n v="2.4"/>
    <x v="1"/>
  </r>
  <r>
    <d v="2026-03-20T00:00:00"/>
    <x v="1"/>
    <x v="307"/>
    <x v="8"/>
    <s v="Guaíra"/>
    <s v="Novo Mundo"/>
    <n v="6.5"/>
    <n v="0.9"/>
    <x v="2"/>
  </r>
  <r>
    <d v="2026-03-20T00:00:00"/>
    <x v="1"/>
    <x v="182"/>
    <x v="5"/>
    <s v="Lindóia"/>
    <s v="Portão"/>
    <n v="6.5"/>
    <n v="2.2000000000000002"/>
    <x v="1"/>
  </r>
  <r>
    <d v="2026-03-20T00:00:00"/>
    <x v="1"/>
    <x v="308"/>
    <x v="5"/>
    <s v="Novo Mundo"/>
    <s v="Novo Mundo"/>
    <n v="6.5"/>
    <n v="2.6"/>
    <x v="1"/>
  </r>
  <r>
    <d v="2026-03-20T00:00:00"/>
    <x v="1"/>
    <x v="309"/>
    <x v="4"/>
    <s v="Novo Mundo"/>
    <s v="Guaíra"/>
    <n v="6.5"/>
    <n v="2.2000000000000002"/>
    <x v="1"/>
  </r>
  <r>
    <d v="2026-03-20T00:00:00"/>
    <x v="1"/>
    <x v="310"/>
    <x v="8"/>
    <s v="Parolin"/>
    <s v="Portão"/>
    <n v="6.5"/>
    <n v="0.8"/>
    <x v="2"/>
  </r>
  <r>
    <d v="2026-03-20T00:00:00"/>
    <x v="1"/>
    <x v="217"/>
    <x v="8"/>
    <s v="Portão"/>
    <s v="Água Verde"/>
    <n v="6.5"/>
    <n v="1.5"/>
    <x v="2"/>
  </r>
  <r>
    <d v="2026-03-23T00:00:00"/>
    <x v="1"/>
    <x v="257"/>
    <x v="4"/>
    <s v="Portão"/>
    <s v="Água Verde"/>
    <n v="11.6"/>
    <n v="3.5"/>
    <x v="1"/>
  </r>
  <r>
    <d v="2026-03-23T00:00:00"/>
    <x v="1"/>
    <x v="244"/>
    <x v="7"/>
    <s v="Lindóia"/>
    <s v="Parolin"/>
    <n v="11"/>
    <n v="3.6"/>
    <x v="1"/>
  </r>
  <r>
    <d v="2026-03-23T00:00:00"/>
    <x v="1"/>
    <x v="311"/>
    <x v="7"/>
    <s v="Portão"/>
    <s v="Guaíra"/>
    <n v="10.06"/>
    <n v="3.1"/>
    <x v="1"/>
  </r>
  <r>
    <d v="2026-03-23T00:00:00"/>
    <x v="1"/>
    <x v="145"/>
    <x v="4"/>
    <s v="Vila Izabel"/>
    <s v="Centro"/>
    <n v="9.5"/>
    <n v="3.6"/>
    <x v="1"/>
  </r>
  <r>
    <d v="2026-03-23T00:00:00"/>
    <x v="1"/>
    <x v="312"/>
    <x v="7"/>
    <s v="Água Verde"/>
    <s v="Novo Mundo"/>
    <n v="8.3000000000000007"/>
    <n v="3.7"/>
    <x v="1"/>
  </r>
  <r>
    <d v="2026-03-23T00:00:00"/>
    <x v="1"/>
    <x v="308"/>
    <x v="5"/>
    <s v="Portão"/>
    <s v="Lindóia"/>
    <n v="7.8"/>
    <n v="2.8"/>
    <x v="1"/>
  </r>
  <r>
    <d v="2026-03-23T00:00:00"/>
    <x v="1"/>
    <x v="287"/>
    <x v="4"/>
    <s v="Guaíra"/>
    <s v="vila Izabel"/>
    <n v="7.5"/>
    <n v="2.1"/>
    <x v="1"/>
  </r>
  <r>
    <d v="2026-03-23T00:00:00"/>
    <x v="1"/>
    <x v="313"/>
    <x v="4"/>
    <s v="Água Verde"/>
    <s v="Água Verde"/>
    <n v="7.4"/>
    <n v="1.5"/>
    <x v="2"/>
  </r>
  <r>
    <d v="2026-03-23T00:00:00"/>
    <x v="1"/>
    <x v="183"/>
    <x v="6"/>
    <s v="Batel"/>
    <s v="Capão Raso"/>
    <n v="7.3"/>
    <n v="2.4"/>
    <x v="1"/>
  </r>
  <r>
    <d v="2026-03-23T00:00:00"/>
    <x v="1"/>
    <x v="314"/>
    <x v="8"/>
    <s v="Capão Raso"/>
    <s v="Água Verde"/>
    <n v="7.2"/>
    <n v="3.3"/>
    <x v="1"/>
  </r>
  <r>
    <d v="2026-03-23T00:00:00"/>
    <x v="1"/>
    <x v="243"/>
    <x v="6"/>
    <s v="Rebouças"/>
    <s v="Rebouças"/>
    <n v="7.1"/>
    <n v="2.1"/>
    <x v="1"/>
  </r>
  <r>
    <d v="2026-03-23T00:00:00"/>
    <x v="1"/>
    <x v="315"/>
    <x v="6"/>
    <s v="Centro"/>
    <s v="Fanny"/>
    <n v="6.9"/>
    <n v="2.4"/>
    <x v="1"/>
  </r>
  <r>
    <d v="2026-03-23T00:00:00"/>
    <x v="1"/>
    <x v="156"/>
    <x v="5"/>
    <s v="Novo Mundo"/>
    <s v="Portão"/>
    <n v="6.8"/>
    <n v="2.9"/>
    <x v="1"/>
  </r>
  <r>
    <d v="2026-03-23T00:00:00"/>
    <x v="1"/>
    <x v="246"/>
    <x v="5"/>
    <s v="Novo Mundo"/>
    <s v="Fanny"/>
    <n v="6.8"/>
    <n v="1.9"/>
    <x v="2"/>
  </r>
  <r>
    <d v="2026-03-23T00:00:00"/>
    <x v="1"/>
    <x v="316"/>
    <x v="4"/>
    <s v="Lindóia"/>
    <s v="Portão"/>
    <n v="6.6"/>
    <n v="1.6"/>
    <x v="2"/>
  </r>
  <r>
    <d v="2026-03-23T00:00:00"/>
    <x v="1"/>
    <x v="197"/>
    <x v="4"/>
    <s v="Lindóia"/>
    <s v="Rebouças"/>
    <n v="6.6"/>
    <n v="1.8"/>
    <x v="2"/>
  </r>
  <r>
    <d v="2026-03-23T00:00:00"/>
    <x v="1"/>
    <x v="317"/>
    <x v="6"/>
    <s v="Centro"/>
    <s v="Portão"/>
    <n v="6.5"/>
    <n v="0.8"/>
    <x v="2"/>
  </r>
  <r>
    <d v="2026-03-23T00:00:00"/>
    <x v="1"/>
    <x v="249"/>
    <x v="5"/>
    <s v="Fanny"/>
    <s v="Lindóia"/>
    <n v="6.5"/>
    <n v="2.5"/>
    <x v="1"/>
  </r>
  <r>
    <d v="2026-03-23T00:00:00"/>
    <x v="1"/>
    <x v="318"/>
    <x v="7"/>
    <s v="Guaíra"/>
    <s v="Portão"/>
    <n v="6.5"/>
    <n v="1.1000000000000001"/>
    <x v="2"/>
  </r>
  <r>
    <d v="2026-03-23T00:00:00"/>
    <x v="1"/>
    <x v="155"/>
    <x v="8"/>
    <s v="Lindóia"/>
    <s v="Fanny"/>
    <n v="6.5"/>
    <n v="2.6"/>
    <x v="1"/>
  </r>
  <r>
    <d v="2026-03-23T00:00:00"/>
    <x v="1"/>
    <x v="319"/>
    <x v="5"/>
    <s v="Parolin"/>
    <s v="Portão"/>
    <n v="6.5"/>
    <n v="1.4"/>
    <x v="2"/>
  </r>
  <r>
    <d v="2026-03-23T00:00:00"/>
    <x v="1"/>
    <x v="132"/>
    <x v="8"/>
    <s v="Portão"/>
    <s v="Novo Mundo"/>
    <n v="6.5"/>
    <n v="1.4"/>
    <x v="2"/>
  </r>
  <r>
    <d v="2026-03-23T00:00:00"/>
    <x v="1"/>
    <x v="320"/>
    <x v="8"/>
    <s v="Portão"/>
    <s v="Rebouças"/>
    <n v="6.5"/>
    <n v="3.1"/>
    <x v="1"/>
  </r>
  <r>
    <d v="2026-03-23T00:00:00"/>
    <x v="1"/>
    <x v="124"/>
    <x v="6"/>
    <s v="Rebouças"/>
    <s v="Xaxim"/>
    <n v="6.5"/>
    <n v="2.2999999999999998"/>
    <x v="1"/>
  </r>
  <r>
    <d v="2026-03-24T00:00:00"/>
    <x v="1"/>
    <x v="221"/>
    <x v="7"/>
    <s v="Novo Mundo"/>
    <s v="Novo Mundo"/>
    <n v="12.6"/>
    <n v="5.5"/>
    <x v="0"/>
  </r>
  <r>
    <d v="2026-03-24T00:00:00"/>
    <x v="1"/>
    <x v="321"/>
    <x v="4"/>
    <s v="Fanny"/>
    <s v="Portão"/>
    <n v="11.6"/>
    <n v="3.3"/>
    <x v="1"/>
  </r>
  <r>
    <d v="2026-03-24T00:00:00"/>
    <x v="1"/>
    <x v="322"/>
    <x v="7"/>
    <s v="Rebouças"/>
    <s v="Rebouças"/>
    <n v="10.5"/>
    <n v="2.7"/>
    <x v="1"/>
  </r>
  <r>
    <d v="2026-03-24T00:00:00"/>
    <x v="1"/>
    <x v="149"/>
    <x v="5"/>
    <s v="Centro"/>
    <s v="Água Verde"/>
    <n v="9.1"/>
    <n v="2.5"/>
    <x v="1"/>
  </r>
  <r>
    <d v="2026-03-24T00:00:00"/>
    <x v="1"/>
    <x v="268"/>
    <x v="5"/>
    <s v="Centro"/>
    <s v="Parolin"/>
    <n v="8.1999999999999993"/>
    <n v="2.8"/>
    <x v="1"/>
  </r>
  <r>
    <d v="2026-03-24T00:00:00"/>
    <x v="1"/>
    <x v="199"/>
    <x v="4"/>
    <s v="Rebouças"/>
    <s v="Água Verde"/>
    <n v="8"/>
    <n v="1.4"/>
    <x v="2"/>
  </r>
  <r>
    <d v="2026-03-24T00:00:00"/>
    <x v="1"/>
    <x v="323"/>
    <x v="5"/>
    <s v="Água Verde"/>
    <s v="Sergipe"/>
    <n v="7.7"/>
    <n v="1.8"/>
    <x v="2"/>
  </r>
  <r>
    <d v="2026-03-24T00:00:00"/>
    <x v="1"/>
    <x v="166"/>
    <x v="4"/>
    <s v="Parolin"/>
    <s v="Centro"/>
    <n v="7.7"/>
    <n v="1.3"/>
    <x v="2"/>
  </r>
  <r>
    <d v="2026-03-24T00:00:00"/>
    <x v="1"/>
    <x v="232"/>
    <x v="5"/>
    <s v="Centro"/>
    <s v="São Francisco"/>
    <n v="7.3"/>
    <n v="1.8"/>
    <x v="2"/>
  </r>
  <r>
    <d v="2026-03-24T00:00:00"/>
    <x v="1"/>
    <x v="324"/>
    <x v="8"/>
    <s v="Bigorrílho"/>
    <s v="Lindóia"/>
    <n v="7"/>
    <n v="2.9"/>
    <x v="1"/>
  </r>
  <r>
    <d v="2026-03-24T00:00:00"/>
    <x v="1"/>
    <x v="265"/>
    <x v="4"/>
    <s v="Fanny"/>
    <s v="Capão Raso"/>
    <n v="6.6"/>
    <n v="1.8"/>
    <x v="2"/>
  </r>
  <r>
    <d v="2026-03-24T00:00:00"/>
    <x v="1"/>
    <x v="325"/>
    <x v="4"/>
    <s v="Novo Mundo"/>
    <s v="Novo Mundo"/>
    <n v="6.6"/>
    <n v="1.8"/>
    <x v="2"/>
  </r>
  <r>
    <d v="2026-03-24T00:00:00"/>
    <x v="1"/>
    <x v="142"/>
    <x v="7"/>
    <s v="Novo Mundo"/>
    <s v="Rebouças"/>
    <n v="6.6"/>
    <n v="0.9"/>
    <x v="2"/>
  </r>
  <r>
    <d v="2026-03-24T00:00:00"/>
    <x v="1"/>
    <x v="182"/>
    <x v="5"/>
    <s v="Água Verde"/>
    <s v="São Francisco"/>
    <n v="6.5"/>
    <n v="1.8"/>
    <x v="2"/>
  </r>
  <r>
    <d v="2026-03-24T00:00:00"/>
    <x v="1"/>
    <x v="132"/>
    <x v="8"/>
    <s v="Batel"/>
    <s v="Batel"/>
    <n v="6.5"/>
    <n v="1.4"/>
    <x v="2"/>
  </r>
  <r>
    <d v="2026-03-24T00:00:00"/>
    <x v="1"/>
    <x v="326"/>
    <x v="8"/>
    <s v="Bigorrílho"/>
    <s v="Centro"/>
    <n v="6.5"/>
    <n v="0.9"/>
    <x v="2"/>
  </r>
  <r>
    <d v="2026-03-24T00:00:00"/>
    <x v="1"/>
    <x v="290"/>
    <x v="8"/>
    <s v="Centro"/>
    <s v="Novo Mundo"/>
    <n v="6.5"/>
    <n v="1.3"/>
    <x v="2"/>
  </r>
  <r>
    <d v="2026-03-24T00:00:00"/>
    <x v="1"/>
    <x v="213"/>
    <x v="6"/>
    <s v="Novo Mundo"/>
    <s v="Xaxim"/>
    <n v="6.5"/>
    <n v="1.1000000000000001"/>
    <x v="2"/>
  </r>
  <r>
    <d v="2026-03-25T00:00:00"/>
    <x v="1"/>
    <x v="327"/>
    <x v="4"/>
    <s v="Boqueirão"/>
    <s v="Xaxim"/>
    <n v="10.5"/>
    <n v="5.4"/>
    <x v="0"/>
  </r>
  <r>
    <d v="2026-03-25T00:00:00"/>
    <x v="1"/>
    <x v="161"/>
    <x v="7"/>
    <s v="Xaxim"/>
    <s v="Xaxim"/>
    <n v="8.9"/>
    <n v="3"/>
    <x v="1"/>
  </r>
  <r>
    <d v="2026-03-25T00:00:00"/>
    <x v="1"/>
    <x v="178"/>
    <x v="4"/>
    <s v="Sítio Cercado"/>
    <s v="Sítio Cercado"/>
    <n v="8.8000000000000007"/>
    <n v="3.7"/>
    <x v="1"/>
  </r>
  <r>
    <d v="2026-03-25T00:00:00"/>
    <x v="1"/>
    <x v="153"/>
    <x v="4"/>
    <s v="Alto Boqueirão"/>
    <s v="Sítio Cercado"/>
    <n v="7.6"/>
    <n v="3.3"/>
    <x v="1"/>
  </r>
  <r>
    <d v="2026-03-25T00:00:00"/>
    <x v="1"/>
    <x v="147"/>
    <x v="4"/>
    <s v="Alto Boqueirão"/>
    <s v="Boqueirão"/>
    <n v="7.3"/>
    <n v="2.8"/>
    <x v="1"/>
  </r>
  <r>
    <d v="2026-03-25T00:00:00"/>
    <x v="1"/>
    <x v="317"/>
    <x v="6"/>
    <s v="Boqueirão"/>
    <s v="Boqueirão"/>
    <n v="7.15"/>
    <n v="1.5"/>
    <x v="2"/>
  </r>
  <r>
    <d v="2026-03-25T00:00:00"/>
    <x v="1"/>
    <x v="137"/>
    <x v="6"/>
    <s v="Boqueirão"/>
    <s v="Novo Mundo"/>
    <n v="6.9"/>
    <n v="1.3"/>
    <x v="2"/>
  </r>
  <r>
    <d v="2026-03-25T00:00:00"/>
    <x v="1"/>
    <x v="175"/>
    <x v="8"/>
    <s v="Fanny"/>
    <s v="Boqueirão"/>
    <n v="6.9"/>
    <n v="2.2999999999999998"/>
    <x v="1"/>
  </r>
  <r>
    <d v="2026-03-25T00:00:00"/>
    <x v="1"/>
    <x v="293"/>
    <x v="7"/>
    <s v="Boqueirão"/>
    <s v="Xaxim"/>
    <n v="6.6"/>
    <n v="1.1000000000000001"/>
    <x v="2"/>
  </r>
  <r>
    <d v="2026-03-25T00:00:00"/>
    <x v="1"/>
    <x v="328"/>
    <x v="7"/>
    <s v="Xaxim"/>
    <s v="Xaxim"/>
    <n v="6.6"/>
    <n v="1"/>
    <x v="2"/>
  </r>
  <r>
    <d v="2026-03-25T00:00:00"/>
    <x v="1"/>
    <x v="255"/>
    <x v="6"/>
    <s v="Xaxim"/>
    <s v="Alto Boqueirão"/>
    <n v="6.6"/>
    <n v="1.6"/>
    <x v="2"/>
  </r>
  <r>
    <d v="2026-03-25T00:00:00"/>
    <x v="1"/>
    <x v="208"/>
    <x v="4"/>
    <s v="Alto Boqueirão"/>
    <s v="Boqueirão"/>
    <n v="6.5"/>
    <n v="2.2000000000000002"/>
    <x v="1"/>
  </r>
  <r>
    <d v="2026-03-25T00:00:00"/>
    <x v="1"/>
    <x v="308"/>
    <x v="5"/>
    <s v="Boqueirão"/>
    <s v="Hauer"/>
    <n v="6.5"/>
    <n v="1.3"/>
    <x v="2"/>
  </r>
  <r>
    <d v="2026-03-25T00:00:00"/>
    <x v="1"/>
    <x v="182"/>
    <x v="5"/>
    <s v="Boqueirão"/>
    <s v="Novo Mundo"/>
    <n v="6.5"/>
    <n v="1.2"/>
    <x v="2"/>
  </r>
  <r>
    <d v="2026-03-25T00:00:00"/>
    <x v="1"/>
    <x v="156"/>
    <x v="5"/>
    <s v="Fanny"/>
    <s v="Boqueirão"/>
    <n v="6.5"/>
    <n v="1.3"/>
    <x v="2"/>
  </r>
  <r>
    <d v="2026-03-25T00:00:00"/>
    <x v="1"/>
    <x v="306"/>
    <x v="5"/>
    <s v="Hauer"/>
    <s v="Fanny"/>
    <n v="6.5"/>
    <n v="1.1000000000000001"/>
    <x v="2"/>
  </r>
  <r>
    <d v="2026-03-25T00:00:00"/>
    <x v="1"/>
    <x v="134"/>
    <x v="5"/>
    <s v="Lindóia"/>
    <s v="Lindóia"/>
    <n v="6.5"/>
    <n v="1.7"/>
    <x v="2"/>
  </r>
  <r>
    <d v="2026-03-25T00:00:00"/>
    <x v="1"/>
    <x v="329"/>
    <x v="8"/>
    <s v="Novo Mundo"/>
    <s v="Xaxim"/>
    <n v="6.5"/>
    <n v="2.1"/>
    <x v="1"/>
  </r>
  <r>
    <d v="2026-03-25T00:00:00"/>
    <x v="1"/>
    <x v="278"/>
    <x v="7"/>
    <s v="Xaxim"/>
    <s v="Lindóia"/>
    <n v="6.5"/>
    <n v="1.5"/>
    <x v="2"/>
  </r>
  <r>
    <d v="2026-03-26T00:00:00"/>
    <x v="1"/>
    <x v="330"/>
    <x v="6"/>
    <s v="Uberaba"/>
    <s v="Guaíra"/>
    <n v="13.4"/>
    <n v="6.4"/>
    <x v="0"/>
  </r>
  <r>
    <d v="2026-03-26T00:00:00"/>
    <x v="1"/>
    <x v="331"/>
    <x v="7"/>
    <s v="Água Verde"/>
    <s v="Guaíra"/>
    <n v="11"/>
    <n v="2.2999999999999998"/>
    <x v="1"/>
  </r>
  <r>
    <d v="2026-03-26T00:00:00"/>
    <x v="1"/>
    <x v="300"/>
    <x v="4"/>
    <s v="Água Verde"/>
    <s v="Água Verde"/>
    <n v="10.3"/>
    <n v="3"/>
    <x v="1"/>
  </r>
  <r>
    <d v="2026-03-26T00:00:00"/>
    <x v="1"/>
    <x v="332"/>
    <x v="4"/>
    <s v="Água Verde"/>
    <s v="Água Verde"/>
    <n v="9.9"/>
    <n v="1.2"/>
    <x v="2"/>
  </r>
  <r>
    <d v="2026-03-26T00:00:00"/>
    <x v="1"/>
    <x v="151"/>
    <x v="4"/>
    <s v="Guaíra"/>
    <s v="Água Verde"/>
    <n v="9.9"/>
    <n v="2.2999999999999998"/>
    <x v="1"/>
  </r>
  <r>
    <d v="2026-03-26T00:00:00"/>
    <x v="1"/>
    <x v="153"/>
    <x v="4"/>
    <s v="Guaíra"/>
    <s v="Xaxim"/>
    <n v="8.6999999999999993"/>
    <n v="2"/>
    <x v="2"/>
  </r>
  <r>
    <d v="2026-03-26T00:00:00"/>
    <x v="1"/>
    <x v="333"/>
    <x v="7"/>
    <s v="Novo Mundo"/>
    <s v="Água Verde"/>
    <n v="8.6"/>
    <n v="3.5"/>
    <x v="1"/>
  </r>
  <r>
    <d v="2026-03-26T00:00:00"/>
    <x v="1"/>
    <x v="208"/>
    <x v="4"/>
    <s v="Guaíra"/>
    <s v="Portão"/>
    <n v="8.1999999999999993"/>
    <n v="2"/>
    <x v="2"/>
  </r>
  <r>
    <d v="2026-03-26T00:00:00"/>
    <x v="1"/>
    <x v="291"/>
    <x v="7"/>
    <s v="Água Verde"/>
    <s v="Novo Mundo"/>
    <n v="8.1"/>
    <n v="2.1"/>
    <x v="1"/>
  </r>
  <r>
    <d v="2026-03-26T00:00:00"/>
    <x v="1"/>
    <x v="334"/>
    <x v="4"/>
    <s v="Portão"/>
    <s v="Uberaba"/>
    <n v="7.4"/>
    <n v="1.8"/>
    <x v="2"/>
  </r>
  <r>
    <d v="2026-03-26T00:00:00"/>
    <x v="1"/>
    <x v="294"/>
    <x v="6"/>
    <s v="Boqueirão"/>
    <s v="Novo Mundo"/>
    <n v="7.1"/>
    <n v="1.4"/>
    <x v="2"/>
  </r>
  <r>
    <d v="2026-03-26T00:00:00"/>
    <x v="1"/>
    <x v="335"/>
    <x v="5"/>
    <s v="Portão"/>
    <s v="Portão"/>
    <n v="7.1"/>
    <n v="2.5"/>
    <x v="1"/>
  </r>
  <r>
    <d v="2026-03-26T00:00:00"/>
    <x v="1"/>
    <x v="336"/>
    <x v="5"/>
    <s v="Novo Mundo"/>
    <s v="Boqueirão"/>
    <n v="6.9"/>
    <n v="1.2"/>
    <x v="2"/>
  </r>
  <r>
    <d v="2026-03-26T00:00:00"/>
    <x v="1"/>
    <x v="164"/>
    <x v="7"/>
    <s v="Boqueirão"/>
    <s v="Novo Mundo"/>
    <n v="6.6"/>
    <n v="0.8"/>
    <x v="2"/>
  </r>
  <r>
    <d v="2026-03-26T00:00:00"/>
    <x v="1"/>
    <x v="139"/>
    <x v="6"/>
    <s v="Lindóia"/>
    <s v="Capão Raso"/>
    <n v="6.6"/>
    <n v="1.4"/>
    <x v="2"/>
  </r>
  <r>
    <d v="2026-03-26T00:00:00"/>
    <x v="1"/>
    <x v="204"/>
    <x v="6"/>
    <s v="Novo Mundo"/>
    <s v="Portão"/>
    <n v="6.6"/>
    <n v="1.1000000000000001"/>
    <x v="2"/>
  </r>
  <r>
    <d v="2026-03-26T00:00:00"/>
    <x v="1"/>
    <x v="337"/>
    <x v="5"/>
    <s v="Parolin"/>
    <s v="Uberaba"/>
    <n v="6.6"/>
    <n v="2"/>
    <x v="2"/>
  </r>
  <r>
    <d v="2026-03-26T00:00:00"/>
    <x v="1"/>
    <x v="338"/>
    <x v="6"/>
    <s v="Uberaba"/>
    <s v="Boqueirão"/>
    <n v="6.6"/>
    <n v="1.5"/>
    <x v="2"/>
  </r>
  <r>
    <d v="2026-03-26T00:00:00"/>
    <x v="1"/>
    <x v="242"/>
    <x v="7"/>
    <s v="Boqueirão"/>
    <s v="Guaíra"/>
    <n v="6.5"/>
    <n v="1.7"/>
    <x v="2"/>
  </r>
  <r>
    <d v="2026-03-26T00:00:00"/>
    <x v="1"/>
    <x v="339"/>
    <x v="5"/>
    <s v="Parolin"/>
    <s v="Uberaba"/>
    <n v="6.5"/>
    <n v="0.8"/>
    <x v="2"/>
  </r>
  <r>
    <d v="2026-03-26T00:00:00"/>
    <x v="1"/>
    <x v="340"/>
    <x v="6"/>
    <s v="Uberaba"/>
    <s v="Uberaba"/>
    <n v="6.5"/>
    <n v="1.8"/>
    <x v="2"/>
  </r>
  <r>
    <d v="2026-03-26T00:00:00"/>
    <x v="1"/>
    <x v="126"/>
    <x v="6"/>
    <s v="Uberaba"/>
    <s v="Parolin"/>
    <n v="6.5"/>
    <n v="2.2000000000000002"/>
    <x v="1"/>
  </r>
  <r>
    <d v="2026-03-27T00:00:00"/>
    <x v="1"/>
    <x v="341"/>
    <x v="4"/>
    <s v="Portão"/>
    <s v="Portão"/>
    <n v="14.4"/>
    <n v="4"/>
    <x v="1"/>
  </r>
  <r>
    <d v="2026-03-27T00:00:00"/>
    <x v="1"/>
    <x v="275"/>
    <x v="4"/>
    <s v="Água Verde"/>
    <s v="Guaíra"/>
    <n v="14.3"/>
    <n v="2.9"/>
    <x v="1"/>
  </r>
  <r>
    <d v="2026-03-27T00:00:00"/>
    <x v="1"/>
    <x v="209"/>
    <x v="5"/>
    <s v="Guaíra"/>
    <s v="Hauer"/>
    <n v="10.3"/>
    <n v="2.5"/>
    <x v="1"/>
  </r>
  <r>
    <d v="2026-03-27T00:00:00"/>
    <x v="1"/>
    <x v="342"/>
    <x v="6"/>
    <s v="Novo Mundo"/>
    <s v="Guaíra"/>
    <n v="9.9"/>
    <n v="4.5"/>
    <x v="0"/>
  </r>
  <r>
    <d v="2026-03-27T00:00:00"/>
    <x v="1"/>
    <x v="161"/>
    <x v="7"/>
    <s v="Centro"/>
    <s v="Novo Mundo"/>
    <n v="9.8000000000000007"/>
    <n v="3.3"/>
    <x v="1"/>
  </r>
  <r>
    <d v="2026-03-27T00:00:00"/>
    <x v="1"/>
    <x v="274"/>
    <x v="6"/>
    <s v="Portão"/>
    <s v="Capão Raso"/>
    <n v="9.3000000000000007"/>
    <n v="2"/>
    <x v="2"/>
  </r>
  <r>
    <d v="2026-03-27T00:00:00"/>
    <x v="1"/>
    <x v="343"/>
    <x v="7"/>
    <s v="Novo Mundo"/>
    <s v="Boqueirão"/>
    <n v="9.1"/>
    <n v="1.8"/>
    <x v="2"/>
  </r>
  <r>
    <d v="2026-03-27T00:00:00"/>
    <x v="1"/>
    <x v="344"/>
    <x v="6"/>
    <s v="Hauer"/>
    <s v="vila Izabel"/>
    <n v="8.6999999999999993"/>
    <n v="3.4"/>
    <x v="1"/>
  </r>
  <r>
    <d v="2026-03-27T00:00:00"/>
    <x v="1"/>
    <x v="127"/>
    <x v="4"/>
    <s v="Água Verde"/>
    <s v="Guaíra"/>
    <n v="8.3000000000000007"/>
    <n v="1.2"/>
    <x v="2"/>
  </r>
  <r>
    <d v="2026-03-27T00:00:00"/>
    <x v="1"/>
    <x v="327"/>
    <x v="4"/>
    <s v="Fanny"/>
    <s v="Hauer"/>
    <n v="8.3000000000000007"/>
    <n v="2"/>
    <x v="2"/>
  </r>
  <r>
    <d v="2026-03-27T00:00:00"/>
    <x v="1"/>
    <x v="283"/>
    <x v="5"/>
    <s v="Parolin"/>
    <s v="Guaíra"/>
    <n v="7.9"/>
    <n v="1.6"/>
    <x v="2"/>
  </r>
  <r>
    <d v="2026-03-27T00:00:00"/>
    <x v="1"/>
    <x v="314"/>
    <x v="8"/>
    <s v="Água Verde"/>
    <s v="Portão"/>
    <n v="7.8"/>
    <n v="1.6"/>
    <x v="2"/>
  </r>
  <r>
    <d v="2026-03-27T00:00:00"/>
    <x v="1"/>
    <x v="345"/>
    <x v="7"/>
    <s v="Guaíra"/>
    <s v="Água Verde"/>
    <n v="7.7"/>
    <n v="3.1"/>
    <x v="1"/>
  </r>
  <r>
    <d v="2026-03-27T00:00:00"/>
    <x v="1"/>
    <x v="175"/>
    <x v="8"/>
    <s v="Portão"/>
    <s v="Hauer"/>
    <n v="7.19"/>
    <n v="1.7"/>
    <x v="2"/>
  </r>
  <r>
    <d v="2026-03-27T00:00:00"/>
    <x v="1"/>
    <x v="335"/>
    <x v="5"/>
    <s v="Hauer"/>
    <s v="Portão"/>
    <n v="7"/>
    <n v="1.9"/>
    <x v="2"/>
  </r>
  <r>
    <d v="2026-03-27T00:00:00"/>
    <x v="1"/>
    <x v="346"/>
    <x v="4"/>
    <s v="Portão"/>
    <s v="Fanny"/>
    <n v="7"/>
    <n v="1.8"/>
    <x v="2"/>
  </r>
  <r>
    <d v="2026-03-27T00:00:00"/>
    <x v="1"/>
    <x v="347"/>
    <x v="5"/>
    <s v="Hauer"/>
    <s v="Novo Mundo"/>
    <n v="6.8"/>
    <n v="2.4"/>
    <x v="1"/>
  </r>
  <r>
    <d v="2026-03-27T00:00:00"/>
    <x v="1"/>
    <x v="242"/>
    <x v="7"/>
    <s v="Portão"/>
    <s v="Lindóia"/>
    <n v="6.8"/>
    <n v="2.2000000000000002"/>
    <x v="1"/>
  </r>
  <r>
    <d v="2026-03-27T00:00:00"/>
    <x v="1"/>
    <x v="320"/>
    <x v="8"/>
    <s v="Portão"/>
    <s v="Guaíra"/>
    <n v="6.7"/>
    <n v="1.2"/>
    <x v="2"/>
  </r>
  <r>
    <d v="2026-03-27T00:00:00"/>
    <x v="1"/>
    <x v="348"/>
    <x v="8"/>
    <s v="Água Verde"/>
    <s v="Hauer"/>
    <n v="6.6"/>
    <n v="1.8"/>
    <x v="2"/>
  </r>
  <r>
    <d v="2026-03-27T00:00:00"/>
    <x v="1"/>
    <x v="349"/>
    <x v="9"/>
    <s v="Boqueirão"/>
    <s v="Parolin"/>
    <n v="6.6"/>
    <n v="3.7"/>
    <x v="1"/>
  </r>
  <r>
    <d v="2026-03-27T00:00:00"/>
    <x v="1"/>
    <x v="193"/>
    <x v="5"/>
    <s v="Centro"/>
    <s v="Água Verde"/>
    <n v="6.6"/>
    <n v="1"/>
    <x v="2"/>
  </r>
  <r>
    <d v="2026-03-27T00:00:00"/>
    <x v="1"/>
    <x v="217"/>
    <x v="8"/>
    <s v="Água Verde"/>
    <s v="Boqueirão"/>
    <n v="6.5"/>
    <n v="1"/>
    <x v="2"/>
  </r>
  <r>
    <d v="2026-03-27T00:00:00"/>
    <x v="1"/>
    <x v="183"/>
    <x v="6"/>
    <s v="Alto Boqueirão"/>
    <s v="Alto Boqueirão"/>
    <n v="6.5"/>
    <n v="2.1"/>
    <x v="1"/>
  </r>
  <r>
    <d v="2026-03-27T00:00:00"/>
    <x v="1"/>
    <x v="350"/>
    <x v="6"/>
    <s v="Boqueirão"/>
    <s v="Parolin"/>
    <n v="6.5"/>
    <n v="3.2"/>
    <x v="1"/>
  </r>
  <r>
    <d v="2026-03-27T00:00:00"/>
    <x v="1"/>
    <x v="232"/>
    <x v="5"/>
    <s v="Parolin"/>
    <s v="Rebouças"/>
    <n v="6.5"/>
    <n v="1.4"/>
    <x v="2"/>
  </r>
  <r>
    <d v="2026-03-27T00:00:00"/>
    <x v="1"/>
    <x v="138"/>
    <x v="8"/>
    <s v="Rebouças"/>
    <m/>
    <n v="6.5"/>
    <n v="1.5"/>
    <x v="2"/>
  </r>
  <r>
    <m/>
    <x v="2"/>
    <x v="272"/>
    <x v="11"/>
    <m/>
    <m/>
    <m/>
    <m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89">
  <r>
    <d v="2026-03-02T00:00:00"/>
    <x v="0"/>
    <d v="1899-12-30T07:34:00"/>
    <x v="0"/>
    <x v="0"/>
    <x v="0"/>
    <s v="Jardim das Américas"/>
    <x v="0"/>
    <n v="6.3"/>
    <x v="0"/>
  </r>
  <r>
    <d v="2026-03-02T00:00:00"/>
    <x v="0"/>
    <d v="1899-12-30T08:13:00"/>
    <x v="1"/>
    <x v="1"/>
    <x v="1"/>
    <s v="Juvevê"/>
    <x v="1"/>
    <n v="8.6"/>
    <x v="0"/>
  </r>
  <r>
    <d v="2026-03-02T00:00:00"/>
    <x v="0"/>
    <d v="1899-12-30T08:53:00"/>
    <x v="1"/>
    <x v="2"/>
    <x v="2"/>
    <s v="Santa Cândida"/>
    <x v="2"/>
    <n v="5.7"/>
    <x v="0"/>
  </r>
  <r>
    <d v="2026-03-02T00:00:00"/>
    <x v="0"/>
    <d v="1899-12-30T09:07:00"/>
    <x v="2"/>
    <x v="3"/>
    <x v="3"/>
    <s v="Cabral"/>
    <x v="3"/>
    <n v="4.4000000000000004"/>
    <x v="0"/>
  </r>
  <r>
    <d v="2026-03-02T00:00:00"/>
    <x v="0"/>
    <d v="1899-12-30T09:29:00"/>
    <x v="2"/>
    <x v="4"/>
    <x v="2"/>
    <s v="São Francisco"/>
    <x v="4"/>
    <n v="3.6"/>
    <x v="1"/>
  </r>
  <r>
    <d v="2026-03-02T00:00:00"/>
    <x v="0"/>
    <d v="1899-12-30T08:04:00"/>
    <x v="1"/>
    <x v="1"/>
    <x v="1"/>
    <s v="Cajuru"/>
    <x v="5"/>
    <n v="1.2"/>
    <x v="2"/>
  </r>
  <r>
    <d v="2026-03-02T00:00:00"/>
    <x v="0"/>
    <d v="1899-12-30T09:50:00"/>
    <x v="2"/>
    <x v="5"/>
    <x v="2"/>
    <s v="Centro"/>
    <x v="6"/>
    <n v="1.3"/>
    <x v="2"/>
  </r>
  <r>
    <d v="2026-03-02T00:00:00"/>
    <x v="0"/>
    <d v="1899-12-30T09:41:00"/>
    <x v="2"/>
    <x v="6"/>
    <x v="2"/>
    <s v="Centro"/>
    <x v="6"/>
    <n v="1.8"/>
    <x v="2"/>
  </r>
  <r>
    <d v="2026-03-02T00:00:00"/>
    <x v="0"/>
    <d v="1899-12-30T09:25:00"/>
    <x v="2"/>
    <x v="7"/>
    <x v="2"/>
    <s v="Ahú"/>
    <x v="7"/>
    <n v="1"/>
    <x v="2"/>
  </r>
  <r>
    <d v="2026-03-03T00:00:00"/>
    <x v="0"/>
    <d v="1899-12-30T07:30:00"/>
    <x v="0"/>
    <x v="8"/>
    <x v="0"/>
    <s v="Centro"/>
    <x v="8"/>
    <n v="8.1999999999999993"/>
    <x v="0"/>
  </r>
  <r>
    <d v="2026-03-03T00:00:00"/>
    <x v="0"/>
    <d v="1899-12-30T08:59:00"/>
    <x v="1"/>
    <x v="9"/>
    <x v="4"/>
    <s v="Parolin"/>
    <x v="9"/>
    <n v="4.8"/>
    <x v="0"/>
  </r>
  <r>
    <d v="2026-03-03T00:00:00"/>
    <x v="0"/>
    <d v="1899-12-30T08:00:00"/>
    <x v="1"/>
    <x v="5"/>
    <x v="2"/>
    <s v="Guabirotuba"/>
    <x v="10"/>
    <n v="5.3"/>
    <x v="0"/>
  </r>
  <r>
    <d v="2026-03-03T00:00:00"/>
    <x v="0"/>
    <d v="1899-12-30T08:54:00"/>
    <x v="1"/>
    <x v="8"/>
    <x v="0"/>
    <s v="Hauer"/>
    <x v="11"/>
    <n v="1.9"/>
    <x v="2"/>
  </r>
  <r>
    <d v="2026-03-03T00:00:00"/>
    <x v="0"/>
    <d v="1899-12-30T08:21:00"/>
    <x v="1"/>
    <x v="10"/>
    <x v="1"/>
    <s v="Hauer"/>
    <x v="12"/>
    <n v="2.1"/>
    <x v="1"/>
  </r>
  <r>
    <d v="2026-03-03T00:00:00"/>
    <x v="0"/>
    <d v="1899-12-30T09:51:00"/>
    <x v="2"/>
    <x v="11"/>
    <x v="0"/>
    <s v="Rebouças"/>
    <x v="6"/>
    <n v="1.7"/>
    <x v="2"/>
  </r>
  <r>
    <d v="2026-03-03T00:00:00"/>
    <x v="0"/>
    <d v="1899-12-30T09:18:00"/>
    <x v="2"/>
    <x v="12"/>
    <x v="0"/>
    <s v="Parolin"/>
    <x v="7"/>
    <n v="0.5"/>
    <x v="2"/>
  </r>
  <r>
    <d v="2026-03-03T00:00:00"/>
    <x v="0"/>
    <d v="1899-12-30T09:26:00"/>
    <x v="2"/>
    <x v="12"/>
    <x v="0"/>
    <s v="Água Verde"/>
    <x v="7"/>
    <n v="3.1"/>
    <x v="1"/>
  </r>
  <r>
    <d v="2026-03-04T00:00:00"/>
    <x v="0"/>
    <d v="1899-12-30T07:49:00"/>
    <x v="0"/>
    <x v="13"/>
    <x v="0"/>
    <s v="Seminário"/>
    <x v="13"/>
    <n v="2.2000000000000002"/>
    <x v="1"/>
  </r>
  <r>
    <d v="2026-03-04T00:00:00"/>
    <x v="0"/>
    <d v="1899-12-30T07:33:00"/>
    <x v="0"/>
    <x v="13"/>
    <x v="0"/>
    <s v="Mercês"/>
    <x v="14"/>
    <n v="1.3"/>
    <x v="2"/>
  </r>
  <r>
    <d v="2026-03-04T00:00:00"/>
    <x v="0"/>
    <d v="1899-12-30T08:51:00"/>
    <x v="1"/>
    <x v="5"/>
    <x v="2"/>
    <s v="Seminário"/>
    <x v="11"/>
    <n v="2"/>
    <x v="2"/>
  </r>
  <r>
    <d v="2026-03-04T00:00:00"/>
    <x v="0"/>
    <d v="1899-12-30T08:23:00"/>
    <x v="1"/>
    <x v="14"/>
    <x v="0"/>
    <s v="Seminário"/>
    <x v="12"/>
    <n v="1.9"/>
    <x v="2"/>
  </r>
  <r>
    <d v="2026-03-04T00:00:00"/>
    <x v="0"/>
    <d v="1899-12-30T08:05:00"/>
    <x v="1"/>
    <x v="11"/>
    <x v="0"/>
    <s v="Batel"/>
    <x v="15"/>
    <n v="2.1"/>
    <x v="1"/>
  </r>
  <r>
    <d v="2026-03-04T00:00:00"/>
    <x v="0"/>
    <d v="1899-12-30T08:37:00"/>
    <x v="1"/>
    <x v="15"/>
    <x v="2"/>
    <s v="Boqueirão"/>
    <x v="7"/>
    <n v="2.2999999999999998"/>
    <x v="1"/>
  </r>
  <r>
    <d v="2026-03-05T00:00:00"/>
    <x v="0"/>
    <d v="1899-12-30T07:44:00"/>
    <x v="0"/>
    <x v="5"/>
    <x v="2"/>
    <s v="Água Verde"/>
    <x v="16"/>
    <n v="8.3000000000000007"/>
    <x v="0"/>
  </r>
  <r>
    <d v="2026-03-05T00:00:00"/>
    <x v="0"/>
    <d v="1899-12-30T08:12:00"/>
    <x v="1"/>
    <x v="9"/>
    <x v="4"/>
    <s v="Portão"/>
    <x v="17"/>
    <n v="9.6"/>
    <x v="0"/>
  </r>
  <r>
    <d v="2026-03-05T00:00:00"/>
    <x v="0"/>
    <d v="1899-12-30T09:17:00"/>
    <x v="2"/>
    <x v="13"/>
    <x v="0"/>
    <s v="Vila Izabel"/>
    <x v="18"/>
    <n v="1.4"/>
    <x v="2"/>
  </r>
  <r>
    <d v="2026-03-05T00:00:00"/>
    <x v="0"/>
    <d v="1899-12-30T09:41:00"/>
    <x v="2"/>
    <x v="16"/>
    <x v="0"/>
    <s v="Guaíra"/>
    <x v="19"/>
    <n v="3.6"/>
    <x v="1"/>
  </r>
  <r>
    <d v="2026-03-05T00:00:00"/>
    <x v="0"/>
    <d v="1899-12-30T09:26:00"/>
    <x v="2"/>
    <x v="17"/>
    <x v="0"/>
    <s v="Batel"/>
    <x v="20"/>
    <n v="2.1"/>
    <x v="1"/>
  </r>
  <r>
    <d v="2026-03-05T00:00:00"/>
    <x v="0"/>
    <d v="1899-12-30T08:47:00"/>
    <x v="1"/>
    <x v="13"/>
    <x v="0"/>
    <s v="Vila Izabel"/>
    <x v="6"/>
    <n v="1.9"/>
    <x v="2"/>
  </r>
  <r>
    <d v="2026-03-05T00:00:00"/>
    <x v="0"/>
    <d v="1899-12-30T08:43:00"/>
    <x v="1"/>
    <x v="11"/>
    <x v="0"/>
    <s v="Água Verde"/>
    <x v="7"/>
    <n v="1.4"/>
    <x v="2"/>
  </r>
  <r>
    <d v="2026-03-06T00:00:00"/>
    <x v="0"/>
    <d v="1899-12-30T07:29:00"/>
    <x v="0"/>
    <x v="16"/>
    <x v="0"/>
    <s v="Vila Izabel"/>
    <x v="21"/>
    <n v="4.5999999999999996"/>
    <x v="0"/>
  </r>
  <r>
    <d v="2026-03-06T00:00:00"/>
    <x v="0"/>
    <d v="1899-12-30T07:50:00"/>
    <x v="0"/>
    <x v="11"/>
    <x v="0"/>
    <s v="Portão"/>
    <x v="22"/>
    <n v="2.2000000000000002"/>
    <x v="1"/>
  </r>
  <r>
    <d v="2026-03-06T00:00:00"/>
    <x v="0"/>
    <d v="1899-12-30T08:03:00"/>
    <x v="1"/>
    <x v="11"/>
    <x v="0"/>
    <s v="Parolin"/>
    <x v="18"/>
    <n v="4.2"/>
    <x v="0"/>
  </r>
  <r>
    <d v="2026-03-06T00:00:00"/>
    <x v="0"/>
    <d v="1899-12-30T08:16:00"/>
    <x v="1"/>
    <x v="17"/>
    <x v="0"/>
    <s v="Portão"/>
    <x v="23"/>
    <n v="4.3"/>
    <x v="0"/>
  </r>
  <r>
    <d v="2026-03-06T00:00:00"/>
    <x v="0"/>
    <d v="1899-12-30T07:39:00"/>
    <x v="0"/>
    <x v="11"/>
    <x v="0"/>
    <s v="Água Verde"/>
    <x v="24"/>
    <n v="2.1"/>
    <x v="1"/>
  </r>
  <r>
    <d v="2026-03-06T00:00:00"/>
    <x v="0"/>
    <d v="1899-12-30T08:38:00"/>
    <x v="1"/>
    <x v="0"/>
    <x v="0"/>
    <s v="Água Verde"/>
    <x v="20"/>
    <n v="3.8"/>
    <x v="1"/>
  </r>
  <r>
    <d v="2026-03-06T00:00:00"/>
    <x v="0"/>
    <d v="1899-12-30T09:32:00"/>
    <x v="2"/>
    <x v="11"/>
    <x v="0"/>
    <s v="Guaíra"/>
    <x v="6"/>
    <n v="1.6"/>
    <x v="2"/>
  </r>
  <r>
    <d v="2026-03-06T00:00:00"/>
    <x v="0"/>
    <d v="1899-12-30T08:36:00"/>
    <x v="1"/>
    <x v="11"/>
    <x v="0"/>
    <s v="Água Verde"/>
    <x v="7"/>
    <n v="1.9"/>
    <x v="2"/>
  </r>
  <r>
    <d v="2026-03-06T00:00:00"/>
    <x v="0"/>
    <d v="1899-12-30T09:09:00"/>
    <x v="2"/>
    <x v="11"/>
    <x v="0"/>
    <s v="Vila Izabel"/>
    <x v="7"/>
    <n v="2.2000000000000002"/>
    <x v="1"/>
  </r>
  <r>
    <d v="2026-03-06T00:00:00"/>
    <x v="0"/>
    <d v="1899-12-30T09:17:00"/>
    <x v="2"/>
    <x v="11"/>
    <x v="0"/>
    <s v="Água Verde"/>
    <x v="7"/>
    <n v="1.6"/>
    <x v="2"/>
  </r>
  <r>
    <d v="2026-03-06T00:00:00"/>
    <x v="0"/>
    <d v="1899-12-30T09:25:00"/>
    <x v="2"/>
    <x v="11"/>
    <x v="0"/>
    <s v="Centro"/>
    <x v="7"/>
    <n v="1"/>
    <x v="2"/>
  </r>
  <r>
    <d v="2026-03-06T00:00:00"/>
    <x v="0"/>
    <d v="1899-12-30T09:49:00"/>
    <x v="2"/>
    <x v="11"/>
    <x v="0"/>
    <s v="Centro"/>
    <x v="7"/>
    <n v="1.7"/>
    <x v="2"/>
  </r>
  <r>
    <d v="2026-03-09T00:00:00"/>
    <x v="0"/>
    <d v="1899-12-30T07:58:00"/>
    <x v="0"/>
    <x v="18"/>
    <x v="5"/>
    <s v="Novo Mundo"/>
    <x v="25"/>
    <n v="10.1"/>
    <x v="0"/>
  </r>
  <r>
    <d v="2026-03-09T00:00:00"/>
    <x v="0"/>
    <d v="1899-12-30T07:49:00"/>
    <x v="0"/>
    <x v="18"/>
    <x v="5"/>
    <s v="Centro"/>
    <x v="26"/>
    <n v="1.3"/>
    <x v="2"/>
  </r>
  <r>
    <d v="2026-03-09T00:00:00"/>
    <x v="0"/>
    <d v="1899-12-30T09:08:00"/>
    <x v="2"/>
    <x v="19"/>
    <x v="2"/>
    <s v="Centro"/>
    <x v="27"/>
    <n v="2.4"/>
    <x v="1"/>
  </r>
  <r>
    <d v="2026-03-09T00:00:00"/>
    <x v="0"/>
    <d v="1899-12-30T08:54:00"/>
    <x v="1"/>
    <x v="5"/>
    <x v="2"/>
    <s v="Água Verde"/>
    <x v="6"/>
    <n v="2.2999999999999998"/>
    <x v="1"/>
  </r>
  <r>
    <d v="2026-03-09T00:00:00"/>
    <x v="0"/>
    <d v="1899-12-30T10:00:00"/>
    <x v="3"/>
    <x v="11"/>
    <x v="0"/>
    <s v="Centro"/>
    <x v="7"/>
    <n v="2.5"/>
    <x v="1"/>
  </r>
  <r>
    <d v="2026-03-09T00:00:00"/>
    <x v="0"/>
    <d v="1899-12-30T08:41:00"/>
    <x v="1"/>
    <x v="5"/>
    <x v="2"/>
    <s v="Fanny"/>
    <x v="7"/>
    <n v="2.2999999999999998"/>
    <x v="1"/>
  </r>
  <r>
    <d v="2026-03-10T00:00:00"/>
    <x v="0"/>
    <d v="1899-12-30T09:35:00"/>
    <x v="2"/>
    <x v="9"/>
    <x v="4"/>
    <s v="Hauer"/>
    <x v="28"/>
    <n v="8.3000000000000007"/>
    <x v="0"/>
  </r>
  <r>
    <d v="2026-03-10T00:00:00"/>
    <x v="0"/>
    <d v="1899-12-30T08:12:00"/>
    <x v="1"/>
    <x v="20"/>
    <x v="4"/>
    <s v="Boqueirão"/>
    <x v="29"/>
    <n v="8.8000000000000007"/>
    <x v="0"/>
  </r>
  <r>
    <d v="2026-03-10T00:00:00"/>
    <x v="0"/>
    <d v="1899-12-30T09:15:00"/>
    <x v="2"/>
    <x v="9"/>
    <x v="4"/>
    <s v="Boqueirão"/>
    <x v="27"/>
    <n v="3.7"/>
    <x v="1"/>
  </r>
  <r>
    <d v="2026-03-10T00:00:00"/>
    <x v="0"/>
    <d v="1899-12-30T07:38:00"/>
    <x v="0"/>
    <x v="20"/>
    <x v="4"/>
    <s v="Hauer"/>
    <x v="15"/>
    <n v="1.7"/>
    <x v="2"/>
  </r>
  <r>
    <d v="2026-03-10T00:00:00"/>
    <x v="0"/>
    <d v="1899-12-30T07:43:00"/>
    <x v="0"/>
    <x v="9"/>
    <x v="4"/>
    <s v="Hauer"/>
    <x v="6"/>
    <n v="1.6"/>
    <x v="2"/>
  </r>
  <r>
    <d v="2026-03-10T00:00:00"/>
    <x v="0"/>
    <d v="1899-12-30T08:43:00"/>
    <x v="1"/>
    <x v="20"/>
    <x v="4"/>
    <s v="Boqueirão"/>
    <x v="7"/>
    <n v="3"/>
    <x v="1"/>
  </r>
  <r>
    <d v="2026-03-10T00:00:00"/>
    <x v="0"/>
    <d v="1899-12-30T09:01:00"/>
    <x v="2"/>
    <x v="20"/>
    <x v="4"/>
    <s v="Água Verde"/>
    <x v="7"/>
    <n v="1.9"/>
    <x v="2"/>
  </r>
  <r>
    <d v="2026-03-11T00:00:00"/>
    <x v="0"/>
    <d v="1899-12-30T09:16:00"/>
    <x v="2"/>
    <x v="0"/>
    <x v="0"/>
    <s v="Parolin"/>
    <x v="30"/>
    <n v="4.5"/>
    <x v="0"/>
  </r>
  <r>
    <d v="2026-03-11T00:00:00"/>
    <x v="0"/>
    <d v="1899-12-30T07:47:00"/>
    <x v="0"/>
    <x v="12"/>
    <x v="0"/>
    <s v="Seminário"/>
    <x v="31"/>
    <n v="2"/>
    <x v="2"/>
  </r>
  <r>
    <d v="2026-03-11T00:00:00"/>
    <x v="0"/>
    <d v="1899-12-30T09:36:00"/>
    <x v="2"/>
    <x v="13"/>
    <x v="0"/>
    <s v="Hauer"/>
    <x v="32"/>
    <n v="2.6"/>
    <x v="1"/>
  </r>
  <r>
    <d v="2026-03-11T00:00:00"/>
    <x v="0"/>
    <d v="1899-12-30T08:16:00"/>
    <x v="1"/>
    <x v="0"/>
    <x v="0"/>
    <s v="Parolin"/>
    <x v="33"/>
    <n v="3.1"/>
    <x v="1"/>
  </r>
  <r>
    <d v="2026-03-11T00:00:00"/>
    <x v="0"/>
    <d v="1899-12-30T08:02:00"/>
    <x v="1"/>
    <x v="0"/>
    <x v="0"/>
    <s v="Guaíra"/>
    <x v="34"/>
    <n v="0.9"/>
    <x v="2"/>
  </r>
  <r>
    <d v="2026-03-11T00:00:00"/>
    <x v="0"/>
    <d v="1899-12-30T07:34:00"/>
    <x v="0"/>
    <x v="21"/>
    <x v="0"/>
    <s v="Mossunguê"/>
    <x v="35"/>
    <n v="3.6"/>
    <x v="1"/>
  </r>
  <r>
    <d v="2026-03-11T00:00:00"/>
    <x v="0"/>
    <d v="1899-12-30T09:44:00"/>
    <x v="2"/>
    <x v="22"/>
    <x v="6"/>
    <s v="Cidade Industrial de Curitiba"/>
    <x v="7"/>
    <n v="1.9"/>
    <x v="2"/>
  </r>
  <r>
    <d v="2026-03-11T00:00:00"/>
    <x v="0"/>
    <d v="1899-12-30T09:56:00"/>
    <x v="2"/>
    <x v="23"/>
    <x v="0"/>
    <s v="Parolin"/>
    <x v="7"/>
    <n v="1.8"/>
    <x v="2"/>
  </r>
  <r>
    <d v="2026-03-11T00:00:00"/>
    <x v="0"/>
    <d v="1899-12-30T08:14:00"/>
    <x v="1"/>
    <x v="0"/>
    <x v="0"/>
    <s v="Guaíra"/>
    <x v="7"/>
    <n v="1.3"/>
    <x v="2"/>
  </r>
  <r>
    <d v="2026-03-11T00:00:00"/>
    <x v="0"/>
    <d v="1899-12-30T08:22:00"/>
    <x v="1"/>
    <x v="0"/>
    <x v="0"/>
    <s v="Hauer"/>
    <x v="7"/>
    <n v="0.9"/>
    <x v="2"/>
  </r>
  <r>
    <d v="2026-03-11T00:00:00"/>
    <x v="0"/>
    <d v="1899-12-30T08:41:00"/>
    <x v="1"/>
    <x v="20"/>
    <x v="4"/>
    <s v="Hauer"/>
    <x v="7"/>
    <n v="1.9"/>
    <x v="2"/>
  </r>
  <r>
    <d v="2026-03-11T00:00:00"/>
    <x v="0"/>
    <d v="1899-12-30T08:51:00"/>
    <x v="1"/>
    <x v="20"/>
    <x v="4"/>
    <s v="Água Verde"/>
    <x v="7"/>
    <n v="1.9"/>
    <x v="2"/>
  </r>
  <r>
    <d v="2026-03-12T00:00:00"/>
    <x v="0"/>
    <d v="1899-12-30T07:48:00"/>
    <x v="0"/>
    <x v="21"/>
    <x v="0"/>
    <s v="Novo Mundo"/>
    <x v="26"/>
    <n v="3.1"/>
    <x v="1"/>
  </r>
  <r>
    <d v="2026-03-12T00:00:00"/>
    <x v="0"/>
    <d v="1899-12-30T07:38:00"/>
    <x v="0"/>
    <x v="18"/>
    <x v="5"/>
    <s v="Vila Izabel"/>
    <x v="36"/>
    <n v="2.1"/>
    <x v="1"/>
  </r>
  <r>
    <d v="2026-03-12T00:00:00"/>
    <x v="0"/>
    <d v="1899-12-30T07:57:00"/>
    <x v="0"/>
    <x v="0"/>
    <x v="0"/>
    <s v="Água Verde"/>
    <x v="30"/>
    <n v="2.4"/>
    <x v="1"/>
  </r>
  <r>
    <d v="2026-03-12T00:00:00"/>
    <x v="0"/>
    <d v="1899-12-30T08:34:00"/>
    <x v="1"/>
    <x v="11"/>
    <x v="0"/>
    <s v="Água Verde"/>
    <x v="12"/>
    <n v="1.9"/>
    <x v="2"/>
  </r>
  <r>
    <d v="2026-03-12T00:00:00"/>
    <x v="0"/>
    <d v="1899-12-30T10:00:00"/>
    <x v="3"/>
    <x v="11"/>
    <x v="0"/>
    <s v="Novo Mundo"/>
    <x v="12"/>
    <n v="2.2999999999999998"/>
    <x v="1"/>
  </r>
  <r>
    <d v="2026-03-12T00:00:00"/>
    <x v="0"/>
    <d v="1899-12-30T09:24:00"/>
    <x v="2"/>
    <x v="0"/>
    <x v="0"/>
    <s v="Água Verde"/>
    <x v="12"/>
    <n v="1.6"/>
    <x v="2"/>
  </r>
  <r>
    <d v="2026-03-12T00:00:00"/>
    <x v="0"/>
    <d v="1899-12-30T08:09:00"/>
    <x v="1"/>
    <x v="11"/>
    <x v="0"/>
    <s v="Lindóia"/>
    <x v="6"/>
    <n v="1.8"/>
    <x v="2"/>
  </r>
  <r>
    <d v="2026-03-12T00:00:00"/>
    <x v="0"/>
    <d v="1899-12-30T08:44:00"/>
    <x v="1"/>
    <x v="11"/>
    <x v="0"/>
    <s v="Água Verde"/>
    <x v="6"/>
    <n v="2.5"/>
    <x v="1"/>
  </r>
  <r>
    <d v="2026-03-12T00:00:00"/>
    <x v="0"/>
    <d v="1899-12-30T09:46:00"/>
    <x v="2"/>
    <x v="0"/>
    <x v="0"/>
    <s v="Vila Izabel"/>
    <x v="6"/>
    <n v="2.1"/>
    <x v="1"/>
  </r>
  <r>
    <d v="2026-03-12T00:00:00"/>
    <x v="0"/>
    <d v="1899-12-30T08:25:00"/>
    <x v="1"/>
    <x v="11"/>
    <x v="0"/>
    <s v="Água Verde"/>
    <x v="7"/>
    <n v="1.8"/>
    <x v="2"/>
  </r>
  <r>
    <d v="2026-03-12T00:00:00"/>
    <x v="0"/>
    <d v="1899-12-30T09:08:00"/>
    <x v="2"/>
    <x v="11"/>
    <x v="0"/>
    <s v="Guaíra"/>
    <x v="7"/>
    <n v="1.4"/>
    <x v="2"/>
  </r>
  <r>
    <d v="2026-03-12T00:00:00"/>
    <x v="0"/>
    <d v="1899-12-30T09:17:00"/>
    <x v="2"/>
    <x v="11"/>
    <x v="0"/>
    <s v="Portão"/>
    <x v="7"/>
    <n v="2.1"/>
    <x v="1"/>
  </r>
  <r>
    <d v="2026-03-12T00:00:00"/>
    <x v="0"/>
    <d v="1899-12-30T08:59:00"/>
    <x v="1"/>
    <x v="8"/>
    <x v="0"/>
    <s v="Guaíra"/>
    <x v="7"/>
    <n v="2.4"/>
    <x v="1"/>
  </r>
  <r>
    <d v="2026-03-12T00:00:00"/>
    <x v="0"/>
    <d v="1899-12-30T09:40:00"/>
    <x v="2"/>
    <x v="17"/>
    <x v="0"/>
    <s v="Água Verde"/>
    <x v="7"/>
    <n v="2"/>
    <x v="2"/>
  </r>
  <r>
    <d v="2026-03-13T00:00:00"/>
    <x v="0"/>
    <d v="1899-12-30T07:27:00"/>
    <x v="0"/>
    <x v="21"/>
    <x v="0"/>
    <s v="Hauer"/>
    <x v="37"/>
    <n v="4.2"/>
    <x v="0"/>
  </r>
  <r>
    <d v="2026-03-13T00:00:00"/>
    <x v="0"/>
    <d v="1899-12-30T07:50:00"/>
    <x v="0"/>
    <x v="0"/>
    <x v="0"/>
    <s v="Alto da XV"/>
    <x v="9"/>
    <n v="3.1"/>
    <x v="1"/>
  </r>
  <r>
    <d v="2026-03-13T00:00:00"/>
    <x v="0"/>
    <d v="1899-12-30T09:06:00"/>
    <x v="2"/>
    <x v="6"/>
    <x v="2"/>
    <s v="Alto da Glória"/>
    <x v="38"/>
    <n v="2.8"/>
    <x v="1"/>
  </r>
  <r>
    <d v="2026-03-13T00:00:00"/>
    <x v="0"/>
    <d v="1899-12-30T08:42:00"/>
    <x v="1"/>
    <x v="5"/>
    <x v="2"/>
    <s v="Cristo Rei"/>
    <x v="14"/>
    <n v="3.1"/>
    <x v="1"/>
  </r>
  <r>
    <d v="2026-03-13T00:00:00"/>
    <x v="0"/>
    <d v="1899-12-30T09:16:00"/>
    <x v="2"/>
    <x v="24"/>
    <x v="2"/>
    <s v="Rebouças"/>
    <x v="15"/>
    <n v="1.4"/>
    <x v="2"/>
  </r>
  <r>
    <d v="2026-03-13T00:00:00"/>
    <x v="0"/>
    <d v="1899-12-30T08:16:00"/>
    <x v="1"/>
    <x v="11"/>
    <x v="0"/>
    <s v="São Francisco"/>
    <x v="6"/>
    <n v="2.8"/>
    <x v="1"/>
  </r>
  <r>
    <d v="2026-03-13T00:00:00"/>
    <x v="0"/>
    <d v="1899-12-30T09:33:00"/>
    <x v="2"/>
    <x v="5"/>
    <x v="2"/>
    <s v="Alto da XV"/>
    <x v="6"/>
    <n v="1.8"/>
    <x v="2"/>
  </r>
  <r>
    <d v="2026-03-13T00:00:00"/>
    <x v="0"/>
    <d v="1899-12-30T09:44:00"/>
    <x v="2"/>
    <x v="5"/>
    <x v="2"/>
    <s v="Água Verde"/>
    <x v="7"/>
    <n v="2.2000000000000002"/>
    <x v="1"/>
  </r>
  <r>
    <d v="2026-03-13T00:00:00"/>
    <x v="0"/>
    <d v="1899-12-30T08:01:00"/>
    <x v="1"/>
    <x v="0"/>
    <x v="0"/>
    <s v="Centro"/>
    <x v="7"/>
    <n v="2.8"/>
    <x v="1"/>
  </r>
  <r>
    <d v="2026-03-13T00:00:00"/>
    <x v="0"/>
    <d v="1899-12-30T09:24:00"/>
    <x v="2"/>
    <x v="2"/>
    <x v="2"/>
    <s v="Centro"/>
    <x v="7"/>
    <n v="2.1"/>
    <x v="1"/>
  </r>
  <r>
    <d v="2026-03-13T00:00:00"/>
    <x v="0"/>
    <d v="1899-12-30T08:33:00"/>
    <x v="1"/>
    <x v="19"/>
    <x v="2"/>
    <s v="Jardim das Américas"/>
    <x v="7"/>
    <n v="2.2000000000000002"/>
    <x v="1"/>
  </r>
  <r>
    <d v="2026-03-16T00:00:00"/>
    <x v="0"/>
    <d v="1899-12-30T07:34:00"/>
    <x v="0"/>
    <x v="0"/>
    <x v="0"/>
    <s v="Batel"/>
    <x v="39"/>
    <n v="6.2"/>
    <x v="0"/>
  </r>
  <r>
    <d v="2026-03-16T00:00:00"/>
    <x v="0"/>
    <d v="1899-12-30T07:56:00"/>
    <x v="0"/>
    <x v="1"/>
    <x v="1"/>
    <s v="Cristo Rei"/>
    <x v="40"/>
    <n v="8"/>
    <x v="0"/>
  </r>
  <r>
    <d v="2026-03-16T00:00:00"/>
    <x v="0"/>
    <d v="1899-12-30T08:51:00"/>
    <x v="1"/>
    <x v="5"/>
    <x v="2"/>
    <s v="Água Verde"/>
    <x v="4"/>
    <n v="4.4000000000000004"/>
    <x v="0"/>
  </r>
  <r>
    <d v="2026-03-16T00:00:00"/>
    <x v="0"/>
    <d v="1899-12-30T09:24:00"/>
    <x v="2"/>
    <x v="25"/>
    <x v="2"/>
    <s v="Portão"/>
    <x v="41"/>
    <n v="3.9"/>
    <x v="1"/>
  </r>
  <r>
    <d v="2026-03-16T00:00:00"/>
    <x v="0"/>
    <d v="1899-12-30T09:55:00"/>
    <x v="2"/>
    <x v="11"/>
    <x v="0"/>
    <s v="Jardim Botânico"/>
    <x v="42"/>
    <n v="2.7"/>
    <x v="1"/>
  </r>
  <r>
    <d v="2026-03-16T00:00:00"/>
    <x v="0"/>
    <d v="1899-12-30T09:14:00"/>
    <x v="2"/>
    <x v="24"/>
    <x v="2"/>
    <s v="Centro"/>
    <x v="43"/>
    <n v="2"/>
    <x v="2"/>
  </r>
  <r>
    <d v="2026-03-16T00:00:00"/>
    <x v="0"/>
    <d v="1899-12-30T08:38:00"/>
    <x v="1"/>
    <x v="5"/>
    <x v="2"/>
    <s v="Novo Mundo"/>
    <x v="6"/>
    <n v="1.3"/>
    <x v="2"/>
  </r>
  <r>
    <d v="2026-03-17T00:00:00"/>
    <x v="0"/>
    <d v="1899-12-30T07:42:00"/>
    <x v="0"/>
    <x v="21"/>
    <x v="0"/>
    <s v="Cidade Industrial de Curitiba"/>
    <x v="44"/>
    <n v="2.8"/>
    <x v="1"/>
  </r>
  <r>
    <d v="2026-03-17T00:00:00"/>
    <x v="0"/>
    <d v="1899-12-30T07:54:00"/>
    <x v="0"/>
    <x v="21"/>
    <x v="0"/>
    <s v="Guaíra"/>
    <x v="45"/>
    <n v="2.5"/>
    <x v="1"/>
  </r>
  <r>
    <d v="2026-03-17T00:00:00"/>
    <x v="0"/>
    <d v="1899-12-30T09:51:00"/>
    <x v="2"/>
    <x v="17"/>
    <x v="0"/>
    <s v="Água Verde"/>
    <x v="46"/>
    <n v="3.9"/>
    <x v="1"/>
  </r>
  <r>
    <d v="2026-03-17T00:00:00"/>
    <x v="0"/>
    <d v="1899-12-30T08:10:00"/>
    <x v="1"/>
    <x v="17"/>
    <x v="0"/>
    <s v="Água Verde"/>
    <x v="47"/>
    <n v="2.5"/>
    <x v="1"/>
  </r>
  <r>
    <d v="2026-03-17T00:00:00"/>
    <x v="0"/>
    <d v="1899-12-30T08:20:00"/>
    <x v="1"/>
    <x v="17"/>
    <x v="0"/>
    <s v="Água Verde"/>
    <x v="24"/>
    <n v="2.7"/>
    <x v="1"/>
  </r>
  <r>
    <d v="2026-03-17T00:00:00"/>
    <x v="0"/>
    <d v="1899-12-30T08:42:00"/>
    <x v="1"/>
    <x v="0"/>
    <x v="0"/>
    <s v="Portão"/>
    <x v="15"/>
    <n v="2.7"/>
    <x v="1"/>
  </r>
  <r>
    <d v="2026-03-17T00:00:00"/>
    <x v="0"/>
    <d v="1899-12-30T09:39:00"/>
    <x v="2"/>
    <x v="11"/>
    <x v="0"/>
    <s v="Água Verde"/>
    <x v="6"/>
    <n v="1.6"/>
    <x v="2"/>
  </r>
  <r>
    <d v="2026-03-17T00:00:00"/>
    <x v="0"/>
    <d v="1899-12-30T08:52:00"/>
    <x v="1"/>
    <x v="11"/>
    <x v="0"/>
    <s v="Água Verde"/>
    <x v="7"/>
    <n v="1.8"/>
    <x v="2"/>
  </r>
  <r>
    <d v="2026-03-17T00:00:00"/>
    <x v="0"/>
    <d v="1899-12-30T09:02:00"/>
    <x v="2"/>
    <x v="11"/>
    <x v="0"/>
    <s v="Fazendinha"/>
    <x v="7"/>
    <n v="2.7"/>
    <x v="1"/>
  </r>
  <r>
    <d v="2026-03-17T00:00:00"/>
    <x v="0"/>
    <d v="1899-12-30T08:04:00"/>
    <x v="1"/>
    <x v="26"/>
    <x v="7"/>
    <s v="Rebouças"/>
    <x v="7"/>
    <n v="2.6"/>
    <x v="1"/>
  </r>
  <r>
    <d v="2026-03-17T00:00:00"/>
    <x v="0"/>
    <d v="1899-12-30T09:20:00"/>
    <x v="2"/>
    <x v="0"/>
    <x v="0"/>
    <s v="Parolin"/>
    <x v="7"/>
    <n v="0.7"/>
    <x v="2"/>
  </r>
  <r>
    <d v="2026-03-18T00:00:00"/>
    <x v="0"/>
    <d v="1899-12-30T07:54:00"/>
    <x v="0"/>
    <x v="8"/>
    <x v="0"/>
    <s v="Novo Mundo"/>
    <x v="48"/>
    <n v="3.4"/>
    <x v="1"/>
  </r>
  <r>
    <d v="2026-03-18T00:00:00"/>
    <x v="0"/>
    <d v="1899-12-30T07:38:00"/>
    <x v="0"/>
    <x v="21"/>
    <x v="0"/>
    <s v="Novo Mundo"/>
    <x v="10"/>
    <n v="0.9"/>
    <x v="2"/>
  </r>
  <r>
    <d v="2026-03-18T00:00:00"/>
    <x v="0"/>
    <d v="1899-12-30T08:27:00"/>
    <x v="1"/>
    <x v="11"/>
    <x v="0"/>
    <s v="Novo Mundo"/>
    <x v="49"/>
    <n v="6.5"/>
    <x v="0"/>
  </r>
  <r>
    <d v="2026-03-18T00:00:00"/>
    <x v="0"/>
    <d v="1899-12-30T07:46:00"/>
    <x v="0"/>
    <x v="21"/>
    <x v="0"/>
    <s v="Portão"/>
    <x v="50"/>
    <n v="0.9"/>
    <x v="2"/>
  </r>
  <r>
    <d v="2026-03-18T00:00:00"/>
    <x v="0"/>
    <d v="1899-12-30T08:52:00"/>
    <x v="1"/>
    <x v="27"/>
    <x v="0"/>
    <s v="Portão"/>
    <x v="51"/>
    <n v="3.7"/>
    <x v="1"/>
  </r>
  <r>
    <d v="2026-03-18T00:00:00"/>
    <x v="0"/>
    <d v="1899-12-30T10:00:00"/>
    <x v="3"/>
    <x v="18"/>
    <x v="5"/>
    <s v="Portão"/>
    <x v="52"/>
    <n v="3.9"/>
    <x v="1"/>
  </r>
  <r>
    <d v="2026-03-18T00:00:00"/>
    <x v="0"/>
    <d v="1899-12-30T09:09:00"/>
    <x v="2"/>
    <x v="21"/>
    <x v="0"/>
    <s v="Água Verde"/>
    <x v="33"/>
    <n v="2.8"/>
    <x v="1"/>
  </r>
  <r>
    <d v="2026-03-18T00:00:00"/>
    <x v="0"/>
    <d v="1899-12-30T08:07:00"/>
    <x v="1"/>
    <x v="12"/>
    <x v="0"/>
    <s v="Capão Raso"/>
    <x v="5"/>
    <n v="4.3"/>
    <x v="0"/>
  </r>
  <r>
    <d v="2026-03-18T00:00:00"/>
    <x v="0"/>
    <d v="1899-12-30T09:39:00"/>
    <x v="2"/>
    <x v="21"/>
    <x v="0"/>
    <s v="Fazendinha"/>
    <x v="12"/>
    <n v="3"/>
    <x v="1"/>
  </r>
  <r>
    <d v="2026-03-18T00:00:00"/>
    <x v="0"/>
    <d v="1899-12-30T08:35:00"/>
    <x v="1"/>
    <x v="21"/>
    <x v="0"/>
    <s v="Novo Mundo"/>
    <x v="6"/>
    <n v="2.6"/>
    <x v="1"/>
  </r>
  <r>
    <d v="2026-03-18T00:00:00"/>
    <x v="0"/>
    <d v="1899-12-30T09:20:00"/>
    <x v="2"/>
    <x v="19"/>
    <x v="2"/>
    <s v="Água Verde"/>
    <x v="6"/>
    <n v="1.7"/>
    <x v="2"/>
  </r>
  <r>
    <d v="2026-03-18T00:00:00"/>
    <x v="0"/>
    <d v="1899-12-30T08:18:00"/>
    <x v="1"/>
    <x v="11"/>
    <x v="0"/>
    <s v="Novo Mundo"/>
    <x v="7"/>
    <n v="1.5"/>
    <x v="2"/>
  </r>
  <r>
    <d v="2026-03-18T00:00:00"/>
    <x v="0"/>
    <d v="1899-12-30T09:27:00"/>
    <x v="2"/>
    <x v="21"/>
    <x v="0"/>
    <s v="Hauer"/>
    <x v="7"/>
    <n v="1.6"/>
    <x v="2"/>
  </r>
  <r>
    <d v="2026-03-19T00:00:00"/>
    <x v="0"/>
    <d v="1899-12-30T09:26:00"/>
    <x v="2"/>
    <x v="28"/>
    <x v="4"/>
    <s v="Boqueirão"/>
    <x v="22"/>
    <n v="5"/>
    <x v="0"/>
  </r>
  <r>
    <d v="2026-03-19T00:00:00"/>
    <x v="0"/>
    <d v="1899-12-30T08:45:00"/>
    <x v="1"/>
    <x v="29"/>
    <x v="5"/>
    <s v="Xaxim"/>
    <x v="51"/>
    <n v="3.8"/>
    <x v="1"/>
  </r>
  <r>
    <d v="2026-03-19T00:00:00"/>
    <x v="0"/>
    <d v="1899-12-30T07:41:00"/>
    <x v="0"/>
    <x v="28"/>
    <x v="4"/>
    <s v="Xaxim"/>
    <x v="51"/>
    <n v="1.1000000000000001"/>
    <x v="2"/>
  </r>
  <r>
    <d v="2026-03-19T00:00:00"/>
    <x v="0"/>
    <d v="1899-12-30T07:32:00"/>
    <x v="0"/>
    <x v="18"/>
    <x v="5"/>
    <s v="Xaxim"/>
    <x v="32"/>
    <n v="2.2999999999999998"/>
    <x v="1"/>
  </r>
  <r>
    <d v="2026-03-19T00:00:00"/>
    <x v="0"/>
    <d v="1899-12-30T07:46:00"/>
    <x v="0"/>
    <x v="28"/>
    <x v="4"/>
    <s v="Xaxim"/>
    <x v="52"/>
    <n v="1.7"/>
    <x v="2"/>
  </r>
  <r>
    <d v="2026-03-19T00:00:00"/>
    <x v="0"/>
    <d v="1899-12-30T08:08:00"/>
    <x v="1"/>
    <x v="29"/>
    <x v="5"/>
    <s v="Sítio Cercado"/>
    <x v="47"/>
    <n v="0.8"/>
    <x v="2"/>
  </r>
  <r>
    <d v="2026-03-19T00:00:00"/>
    <x v="0"/>
    <d v="1899-12-30T08:15:00"/>
    <x v="1"/>
    <x v="29"/>
    <x v="5"/>
    <s v="Hauer"/>
    <x v="53"/>
    <n v="1.9"/>
    <x v="2"/>
  </r>
  <r>
    <d v="2026-03-19T00:00:00"/>
    <x v="0"/>
    <d v="1899-12-30T08:55:00"/>
    <x v="1"/>
    <x v="30"/>
    <x v="4"/>
    <s v="Xaxim"/>
    <x v="20"/>
    <n v="3.3"/>
    <x v="1"/>
  </r>
  <r>
    <d v="2026-03-19T00:00:00"/>
    <x v="0"/>
    <d v="1899-12-30T08:31:00"/>
    <x v="1"/>
    <x v="28"/>
    <x v="4"/>
    <s v="Xaxim"/>
    <x v="12"/>
    <n v="2.8"/>
    <x v="1"/>
  </r>
  <r>
    <d v="2026-03-19T00:00:00"/>
    <x v="0"/>
    <d v="1899-12-30T08:28:00"/>
    <x v="1"/>
    <x v="31"/>
    <x v="8"/>
    <s v="Xaxim"/>
    <x v="6"/>
    <n v="1.8"/>
    <x v="2"/>
  </r>
  <r>
    <d v="2026-03-19T00:00:00"/>
    <x v="0"/>
    <d v="1899-12-30T09:12:00"/>
    <x v="2"/>
    <x v="9"/>
    <x v="4"/>
    <s v="Hauer"/>
    <x v="7"/>
    <n v="3.2"/>
    <x v="1"/>
  </r>
  <r>
    <d v="2026-03-19T00:00:00"/>
    <x v="0"/>
    <d v="1899-12-30T09:45:00"/>
    <x v="2"/>
    <x v="9"/>
    <x v="4"/>
    <s v="Xaxim"/>
    <x v="7"/>
    <n v="2.8"/>
    <x v="1"/>
  </r>
  <r>
    <d v="2026-03-19T00:00:00"/>
    <x v="0"/>
    <d v="1899-12-30T09:38:00"/>
    <x v="2"/>
    <x v="20"/>
    <x v="4"/>
    <s v="Hauer"/>
    <x v="7"/>
    <n v="2.7"/>
    <x v="1"/>
  </r>
  <r>
    <d v="2026-03-19T00:00:00"/>
    <x v="0"/>
    <d v="1899-12-30T10:00:00"/>
    <x v="3"/>
    <x v="13"/>
    <x v="0"/>
    <s v="Lindóia"/>
    <x v="7"/>
    <n v="1.5"/>
    <x v="2"/>
  </r>
  <r>
    <d v="2026-03-20T00:00:00"/>
    <x v="0"/>
    <d v="1899-12-30T07:40:00"/>
    <x v="0"/>
    <x v="16"/>
    <x v="0"/>
    <s v="Portão"/>
    <x v="54"/>
    <n v="4.4000000000000004"/>
    <x v="0"/>
  </r>
  <r>
    <d v="2026-03-20T00:00:00"/>
    <x v="0"/>
    <d v="1899-12-30T07:55:00"/>
    <x v="0"/>
    <x v="21"/>
    <x v="0"/>
    <s v="Água Verde"/>
    <x v="45"/>
    <n v="2.8"/>
    <x v="1"/>
  </r>
  <r>
    <d v="2026-03-20T00:00:00"/>
    <x v="0"/>
    <d v="1899-12-30T08:30:00"/>
    <x v="1"/>
    <x v="0"/>
    <x v="0"/>
    <s v="Parolin"/>
    <x v="33"/>
    <n v="3.6"/>
    <x v="1"/>
  </r>
  <r>
    <d v="2026-03-20T00:00:00"/>
    <x v="0"/>
    <d v="1899-12-30T08:58:00"/>
    <x v="1"/>
    <x v="11"/>
    <x v="0"/>
    <s v="Água Verde"/>
    <x v="20"/>
    <n v="2.1"/>
    <x v="1"/>
  </r>
  <r>
    <d v="2026-03-20T00:00:00"/>
    <x v="0"/>
    <d v="1899-12-30T09:41:00"/>
    <x v="2"/>
    <x v="11"/>
    <x v="0"/>
    <s v="Água Verde"/>
    <x v="15"/>
    <n v="3"/>
    <x v="1"/>
  </r>
  <r>
    <d v="2026-03-20T00:00:00"/>
    <x v="0"/>
    <d v="1899-12-30T09:24:00"/>
    <x v="2"/>
    <x v="11"/>
    <x v="0"/>
    <s v="Água Verde"/>
    <x v="55"/>
    <n v="2.4"/>
    <x v="1"/>
  </r>
  <r>
    <d v="2026-03-20T00:00:00"/>
    <x v="0"/>
    <d v="1899-12-30T08:05:00"/>
    <x v="1"/>
    <x v="17"/>
    <x v="0"/>
    <s v="Rebouças"/>
    <x v="6"/>
    <n v="2.4"/>
    <x v="1"/>
  </r>
  <r>
    <d v="2026-03-20T00:00:00"/>
    <x v="0"/>
    <d v="1899-12-30T08:38:00"/>
    <x v="1"/>
    <x v="11"/>
    <x v="0"/>
    <s v="Água Verde"/>
    <x v="7"/>
    <n v="2.2000000000000002"/>
    <x v="1"/>
  </r>
  <r>
    <d v="2026-03-20T00:00:00"/>
    <x v="0"/>
    <d v="1899-12-30T09:13:00"/>
    <x v="2"/>
    <x v="11"/>
    <x v="0"/>
    <s v="Guaíra"/>
    <x v="7"/>
    <n v="2.2000000000000002"/>
    <x v="1"/>
  </r>
  <r>
    <d v="2026-03-20T00:00:00"/>
    <x v="0"/>
    <d v="1899-12-30T09:37:00"/>
    <x v="2"/>
    <x v="11"/>
    <x v="0"/>
    <s v="Guaíra"/>
    <x v="7"/>
    <n v="1.8"/>
    <x v="2"/>
  </r>
  <r>
    <d v="2026-03-20T00:00:00"/>
    <x v="0"/>
    <d v="1899-12-30T09:55:00"/>
    <x v="2"/>
    <x v="0"/>
    <x v="0"/>
    <s v="Guaíra"/>
    <x v="7"/>
    <n v="1.1000000000000001"/>
    <x v="2"/>
  </r>
  <r>
    <d v="2026-03-20T00:00:00"/>
    <x v="0"/>
    <d v="1899-12-30T08:15:00"/>
    <x v="1"/>
    <x v="17"/>
    <x v="0"/>
    <s v="Água Verde"/>
    <x v="7"/>
    <n v="2.6"/>
    <x v="1"/>
  </r>
  <r>
    <d v="2026-03-20T00:00:00"/>
    <x v="0"/>
    <d v="1899-12-30T09:06:00"/>
    <x v="2"/>
    <x v="19"/>
    <x v="2"/>
    <s v="Novo Mundo"/>
    <x v="7"/>
    <n v="1.6"/>
    <x v="2"/>
  </r>
  <r>
    <d v="2026-03-23T00:00:00"/>
    <x v="0"/>
    <d v="1899-12-30T07:53:00"/>
    <x v="0"/>
    <x v="16"/>
    <x v="0"/>
    <s v="Parolin"/>
    <x v="56"/>
    <n v="2.1"/>
    <x v="1"/>
  </r>
  <r>
    <d v="2026-03-23T00:00:00"/>
    <x v="0"/>
    <d v="1899-12-30T07:35:00"/>
    <x v="0"/>
    <x v="21"/>
    <x v="0"/>
    <s v="Novo Mundo"/>
    <x v="22"/>
    <n v="2.9"/>
    <x v="1"/>
  </r>
  <r>
    <d v="2026-03-23T00:00:00"/>
    <x v="0"/>
    <d v="1899-12-30T07:40:00"/>
    <x v="0"/>
    <x v="12"/>
    <x v="0"/>
    <s v="Novo Mundo"/>
    <x v="19"/>
    <n v="2.8"/>
    <x v="1"/>
  </r>
  <r>
    <d v="2026-03-23T00:00:00"/>
    <x v="0"/>
    <d v="1899-12-30T08:06:00"/>
    <x v="1"/>
    <x v="18"/>
    <x v="5"/>
    <s v="Água Verde"/>
    <x v="27"/>
    <n v="1.4"/>
    <x v="2"/>
  </r>
  <r>
    <d v="2026-03-23T00:00:00"/>
    <x v="0"/>
    <d v="1899-12-30T08:35:00"/>
    <x v="1"/>
    <x v="0"/>
    <x v="0"/>
    <s v="Água Verde"/>
    <x v="33"/>
    <n v="2.7"/>
    <x v="1"/>
  </r>
  <r>
    <d v="2026-03-23T00:00:00"/>
    <x v="0"/>
    <d v="1899-12-30T08:46:00"/>
    <x v="1"/>
    <x v="5"/>
    <x v="2"/>
    <s v="Água Verde"/>
    <x v="11"/>
    <n v="0.9"/>
    <x v="2"/>
  </r>
  <r>
    <d v="2026-03-23T00:00:00"/>
    <x v="0"/>
    <d v="1899-12-30T08:18:00"/>
    <x v="1"/>
    <x v="17"/>
    <x v="0"/>
    <s v="Água Verde"/>
    <x v="12"/>
    <n v="2.7"/>
    <x v="1"/>
  </r>
  <r>
    <d v="2026-03-23T00:00:00"/>
    <x v="0"/>
    <d v="1899-12-30T09:22:00"/>
    <x v="2"/>
    <x v="11"/>
    <x v="0"/>
    <s v="Água Verde"/>
    <x v="55"/>
    <n v="1.3"/>
    <x v="2"/>
  </r>
  <r>
    <d v="2026-03-23T00:00:00"/>
    <x v="0"/>
    <d v="1899-12-30T09:08:00"/>
    <x v="2"/>
    <x v="0"/>
    <x v="0"/>
    <s v="Água Verde"/>
    <x v="6"/>
    <n v="2.7"/>
    <x v="1"/>
  </r>
  <r>
    <d v="2026-03-23T00:00:00"/>
    <x v="0"/>
    <d v="1899-12-30T09:29:00"/>
    <x v="2"/>
    <x v="11"/>
    <x v="0"/>
    <s v="Água Verde"/>
    <x v="7"/>
    <n v="2.2999999999999998"/>
    <x v="1"/>
  </r>
  <r>
    <d v="2026-03-23T00:00:00"/>
    <x v="0"/>
    <d v="1899-12-30T08:55:00"/>
    <x v="1"/>
    <x v="19"/>
    <x v="2"/>
    <s v="Parolin"/>
    <x v="7"/>
    <n v="1.5"/>
    <x v="2"/>
  </r>
  <r>
    <d v="2026-03-24T00:00:00"/>
    <x v="0"/>
    <d v="1899-12-30T08:34:00"/>
    <x v="1"/>
    <x v="13"/>
    <x v="0"/>
    <s v="Prado Velho"/>
    <x v="57"/>
    <n v="6.2"/>
    <x v="0"/>
  </r>
  <r>
    <d v="2026-03-24T00:00:00"/>
    <x v="0"/>
    <d v="1899-12-30T07:36:00"/>
    <x v="0"/>
    <x v="11"/>
    <x v="0"/>
    <s v="Guaíra"/>
    <x v="18"/>
    <n v="3.6"/>
    <x v="1"/>
  </r>
  <r>
    <d v="2026-03-24T00:00:00"/>
    <x v="0"/>
    <d v="1899-12-30T07:22:00"/>
    <x v="0"/>
    <x v="17"/>
    <x v="0"/>
    <s v="Centro"/>
    <x v="58"/>
    <n v="1.9"/>
    <x v="2"/>
  </r>
  <r>
    <d v="2026-03-24T00:00:00"/>
    <x v="0"/>
    <d v="1899-12-30T08:06:00"/>
    <x v="1"/>
    <x v="12"/>
    <x v="0"/>
    <s v="Santa Quitéria"/>
    <x v="47"/>
    <n v="3.6"/>
    <x v="1"/>
  </r>
  <r>
    <d v="2026-03-24T00:00:00"/>
    <x v="0"/>
    <d v="1899-12-30T08:21:00"/>
    <x v="1"/>
    <x v="11"/>
    <x v="0"/>
    <s v="Prado Velho"/>
    <x v="59"/>
    <n v="2.7"/>
    <x v="1"/>
  </r>
  <r>
    <d v="2026-03-24T00:00:00"/>
    <x v="0"/>
    <d v="1899-12-30T07:53:00"/>
    <x v="0"/>
    <x v="32"/>
    <x v="2"/>
    <s v="Água Verde"/>
    <x v="12"/>
    <n v="1.8"/>
    <x v="2"/>
  </r>
  <r>
    <d v="2026-03-24T00:00:00"/>
    <x v="0"/>
    <d v="1899-12-30T07:31:00"/>
    <x v="0"/>
    <x v="0"/>
    <x v="0"/>
    <s v="Rebouças"/>
    <x v="6"/>
    <n v="1.6"/>
    <x v="2"/>
  </r>
  <r>
    <d v="2026-03-24T00:00:00"/>
    <x v="0"/>
    <d v="1899-12-30T09:05:00"/>
    <x v="2"/>
    <x v="19"/>
    <x v="2"/>
    <s v="Água Verde"/>
    <x v="6"/>
    <n v="2"/>
    <x v="2"/>
  </r>
  <r>
    <d v="2026-03-24T00:00:00"/>
    <x v="0"/>
    <d v="1899-12-30T09:46:00"/>
    <x v="2"/>
    <x v="11"/>
    <x v="0"/>
    <s v="Guaíra"/>
    <x v="7"/>
    <n v="2.7"/>
    <x v="1"/>
  </r>
  <r>
    <d v="2026-03-24T00:00:00"/>
    <x v="0"/>
    <d v="1899-12-30T09:57:00"/>
    <x v="2"/>
    <x v="11"/>
    <x v="0"/>
    <s v="Água Verde"/>
    <x v="7"/>
    <n v="3.7"/>
    <x v="1"/>
  </r>
  <r>
    <d v="2026-03-24T00:00:00"/>
    <x v="0"/>
    <d v="1899-12-30T09:32:00"/>
    <x v="2"/>
    <x v="0"/>
    <x v="0"/>
    <s v="Rebouças"/>
    <x v="7"/>
    <n v="2.2999999999999998"/>
    <x v="1"/>
  </r>
  <r>
    <d v="2026-03-24T00:00:00"/>
    <x v="0"/>
    <d v="1899-12-30T09:00:00"/>
    <x v="2"/>
    <x v="19"/>
    <x v="2"/>
    <s v="Parolin"/>
    <x v="7"/>
    <n v="1.4"/>
    <x v="2"/>
  </r>
  <r>
    <d v="2026-03-24T00:00:00"/>
    <x v="0"/>
    <d v="1899-12-30T09:26:00"/>
    <x v="2"/>
    <x v="19"/>
    <x v="2"/>
    <s v="Fanny"/>
    <x v="7"/>
    <n v="2.6"/>
    <x v="1"/>
  </r>
  <r>
    <d v="2026-03-25T00:00:00"/>
    <x v="0"/>
    <d v="1899-12-30T07:47:00"/>
    <x v="0"/>
    <x v="8"/>
    <x v="0"/>
    <s v="Rebouças"/>
    <x v="3"/>
    <n v="1.4"/>
    <x v="2"/>
  </r>
  <r>
    <d v="2026-03-25T00:00:00"/>
    <x v="0"/>
    <d v="1899-12-30T08:18:00"/>
    <x v="1"/>
    <x v="11"/>
    <x v="0"/>
    <s v="Água Verde"/>
    <x v="60"/>
    <n v="3.3"/>
    <x v="1"/>
  </r>
  <r>
    <d v="2026-03-25T00:00:00"/>
    <x v="0"/>
    <d v="1899-12-30T08:09:00"/>
    <x v="1"/>
    <x v="12"/>
    <x v="0"/>
    <s v="Guaíra"/>
    <x v="12"/>
    <n v="3.3"/>
    <x v="1"/>
  </r>
  <r>
    <d v="2026-03-25T00:00:00"/>
    <x v="0"/>
    <d v="1899-12-30T07:59:00"/>
    <x v="0"/>
    <x v="16"/>
    <x v="0"/>
    <s v="Parolin"/>
    <x v="55"/>
    <n v="1.9"/>
    <x v="2"/>
  </r>
  <r>
    <d v="2026-03-25T00:00:00"/>
    <x v="0"/>
    <d v="1899-12-30T08:37:00"/>
    <x v="1"/>
    <x v="19"/>
    <x v="2"/>
    <s v="Hauer"/>
    <x v="55"/>
    <n v="0.8"/>
    <x v="2"/>
  </r>
  <r>
    <d v="2026-03-25T00:00:00"/>
    <x v="0"/>
    <d v="1899-12-30T08:41:00"/>
    <x v="1"/>
    <x v="5"/>
    <x v="2"/>
    <s v="Boqueirão"/>
    <x v="6"/>
    <n v="1.9"/>
    <x v="2"/>
  </r>
  <r>
    <d v="2026-03-25T00:00:00"/>
    <x v="0"/>
    <d v="1899-12-30T10:00:00"/>
    <x v="3"/>
    <x v="20"/>
    <x v="4"/>
    <s v="Fazendinha"/>
    <x v="6"/>
    <n v="1.8"/>
    <x v="2"/>
  </r>
  <r>
    <d v="2026-03-26T00:00:00"/>
    <x v="0"/>
    <d v="1899-12-30T07:36:00"/>
    <x v="0"/>
    <x v="17"/>
    <x v="0"/>
    <s v="Guaíra"/>
    <x v="61"/>
    <n v="4.8"/>
    <x v="0"/>
  </r>
  <r>
    <d v="2026-03-26T00:00:00"/>
    <x v="0"/>
    <d v="1899-12-30T08:00:00"/>
    <x v="1"/>
    <x v="27"/>
    <x v="0"/>
    <s v="Água Verde"/>
    <x v="62"/>
    <n v="5.6"/>
    <x v="0"/>
  </r>
  <r>
    <d v="2026-03-26T00:00:00"/>
    <x v="0"/>
    <d v="1899-12-30T07:27:00"/>
    <x v="0"/>
    <x v="16"/>
    <x v="0"/>
    <s v="Rebouças"/>
    <x v="22"/>
    <n v="2.7"/>
    <x v="1"/>
  </r>
  <r>
    <d v="2026-03-26T00:00:00"/>
    <x v="0"/>
    <d v="1899-12-30T08:34:00"/>
    <x v="1"/>
    <x v="11"/>
    <x v="0"/>
    <s v="Água Verde"/>
    <x v="33"/>
    <n v="3.3"/>
    <x v="1"/>
  </r>
  <r>
    <d v="2026-03-26T00:00:00"/>
    <x v="0"/>
    <d v="1899-12-30T09:54:00"/>
    <x v="2"/>
    <x v="17"/>
    <x v="0"/>
    <s v="Fazendinha"/>
    <x v="20"/>
    <n v="3"/>
    <x v="1"/>
  </r>
  <r>
    <d v="2026-03-26T00:00:00"/>
    <x v="0"/>
    <d v="1899-12-30T07:53:00"/>
    <x v="0"/>
    <x v="27"/>
    <x v="0"/>
    <s v="Água Verde"/>
    <x v="63"/>
    <n v="0.8"/>
    <x v="2"/>
  </r>
  <r>
    <d v="2026-03-26T00:00:00"/>
    <x v="0"/>
    <d v="1899-12-30T08:57:00"/>
    <x v="1"/>
    <x v="11"/>
    <x v="0"/>
    <s v="Água Verde"/>
    <x v="5"/>
    <n v="3"/>
    <x v="1"/>
  </r>
  <r>
    <d v="2026-03-26T00:00:00"/>
    <x v="0"/>
    <d v="1899-12-30T09:14:00"/>
    <x v="2"/>
    <x v="11"/>
    <x v="0"/>
    <s v="Portão"/>
    <x v="15"/>
    <n v="3"/>
    <x v="1"/>
  </r>
  <r>
    <d v="2026-03-26T00:00:00"/>
    <x v="0"/>
    <d v="1899-12-30T09:42:00"/>
    <x v="2"/>
    <x v="11"/>
    <x v="0"/>
    <s v="Água Verde"/>
    <x v="6"/>
    <n v="3.8"/>
    <x v="1"/>
  </r>
  <r>
    <d v="2026-03-26T00:00:00"/>
    <x v="0"/>
    <d v="1899-12-30T08:21:00"/>
    <x v="1"/>
    <x v="11"/>
    <x v="0"/>
    <s v="Água Verde"/>
    <x v="7"/>
    <n v="1.6"/>
    <x v="2"/>
  </r>
  <r>
    <d v="2026-03-26T00:00:00"/>
    <x v="0"/>
    <d v="1899-12-30T08:28:00"/>
    <x v="1"/>
    <x v="11"/>
    <x v="0"/>
    <s v="Rebouças"/>
    <x v="7"/>
    <n v="2"/>
    <x v="2"/>
  </r>
  <r>
    <d v="2026-03-26T00:00:00"/>
    <x v="0"/>
    <d v="1899-12-30T09:33:00"/>
    <x v="2"/>
    <x v="11"/>
    <x v="0"/>
    <s v="Parolin"/>
    <x v="7"/>
    <n v="1.9"/>
    <x v="2"/>
  </r>
  <r>
    <d v="2026-03-27T00:00:00"/>
    <x v="0"/>
    <d v="1899-12-30T07:36:00"/>
    <x v="0"/>
    <x v="21"/>
    <x v="0"/>
    <s v="Hauer"/>
    <x v="64"/>
    <n v="2.9"/>
    <x v="1"/>
  </r>
  <r>
    <d v="2026-03-27T00:00:00"/>
    <x v="0"/>
    <d v="1899-12-30T08:31:00"/>
    <x v="1"/>
    <x v="9"/>
    <x v="4"/>
    <s v="Guabirotuba"/>
    <x v="30"/>
    <n v="4.5999999999999996"/>
    <x v="0"/>
  </r>
  <r>
    <d v="2026-03-27T00:00:00"/>
    <x v="0"/>
    <d v="1899-12-30T09:30:00"/>
    <x v="2"/>
    <x v="9"/>
    <x v="4"/>
    <s v="Xaxim"/>
    <x v="41"/>
    <n v="4.7"/>
    <x v="0"/>
  </r>
  <r>
    <d v="2026-03-27T00:00:00"/>
    <x v="0"/>
    <d v="1899-12-30T07:57:00"/>
    <x v="0"/>
    <x v="21"/>
    <x v="0"/>
    <s v="Novo Mundo"/>
    <x v="41"/>
    <n v="4.4000000000000004"/>
    <x v="0"/>
  </r>
  <r>
    <d v="2026-03-27T00:00:00"/>
    <x v="0"/>
    <d v="1899-12-30T07:41:00"/>
    <x v="0"/>
    <x v="0"/>
    <x v="0"/>
    <s v="Guaíra"/>
    <x v="65"/>
    <n v="1.8"/>
    <x v="2"/>
  </r>
  <r>
    <d v="2026-03-27T00:00:00"/>
    <x v="0"/>
    <d v="1899-12-30T09:57:00"/>
    <x v="2"/>
    <x v="20"/>
    <x v="4"/>
    <s v="Hauer"/>
    <x v="24"/>
    <n v="2.9"/>
    <x v="1"/>
  </r>
  <r>
    <d v="2026-03-27T00:00:00"/>
    <x v="0"/>
    <d v="1899-12-30T09:51:00"/>
    <x v="2"/>
    <x v="20"/>
    <x v="4"/>
    <s v="Boqueirão"/>
    <x v="20"/>
    <n v="1.1000000000000001"/>
    <x v="2"/>
  </r>
  <r>
    <d v="2026-03-27T00:00:00"/>
    <x v="0"/>
    <d v="1899-12-30T08:46:00"/>
    <x v="1"/>
    <x v="20"/>
    <x v="4"/>
    <s v="Novo Mundo"/>
    <x v="12"/>
    <n v="2.7"/>
    <x v="1"/>
  </r>
  <r>
    <d v="2026-03-27T00:00:00"/>
    <x v="0"/>
    <d v="1899-12-30T07:50:00"/>
    <x v="0"/>
    <x v="16"/>
    <x v="0"/>
    <s v="Boqueirão"/>
    <x v="12"/>
    <n v="2"/>
    <x v="2"/>
  </r>
  <r>
    <d v="2026-03-27T00:00:00"/>
    <x v="0"/>
    <d v="1899-12-30T08:17:00"/>
    <x v="1"/>
    <x v="28"/>
    <x v="4"/>
    <s v="Hauer"/>
    <x v="6"/>
    <n v="2.4"/>
    <x v="1"/>
  </r>
  <r>
    <d v="2026-03-27T00:00:00"/>
    <x v="0"/>
    <d v="1899-12-30T09:19:00"/>
    <x v="2"/>
    <x v="9"/>
    <x v="4"/>
    <s v="Uberaba"/>
    <x v="7"/>
    <n v="1.4"/>
    <x v="2"/>
  </r>
  <r>
    <d v="2026-03-02T00:00:00"/>
    <x v="1"/>
    <d v="1899-12-30T17:13:00"/>
    <x v="4"/>
    <x v="5"/>
    <x v="2"/>
    <s v="Parolin"/>
    <x v="66"/>
    <n v="5"/>
    <x v="0"/>
  </r>
  <r>
    <d v="2026-03-02T00:00:00"/>
    <x v="1"/>
    <d v="1899-12-30T16:53:00"/>
    <x v="5"/>
    <x v="12"/>
    <x v="0"/>
    <s v="Água Verde"/>
    <x v="67"/>
    <n v="4.7"/>
    <x v="0"/>
  </r>
  <r>
    <d v="2026-03-02T00:00:00"/>
    <x v="1"/>
    <d v="1899-12-30T19:28:00"/>
    <x v="6"/>
    <x v="20"/>
    <x v="4"/>
    <s v="Sítio Cercado"/>
    <x v="68"/>
    <n v="5.7"/>
    <x v="0"/>
  </r>
  <r>
    <d v="2026-03-02T00:00:00"/>
    <x v="1"/>
    <d v="1899-12-30T17:55:00"/>
    <x v="4"/>
    <x v="9"/>
    <x v="4"/>
    <s v="Boqueirão"/>
    <x v="69"/>
    <n v="4.8"/>
    <x v="0"/>
  </r>
  <r>
    <d v="2026-03-02T00:00:00"/>
    <x v="1"/>
    <d v="1899-12-30T19:13:00"/>
    <x v="6"/>
    <x v="9"/>
    <x v="4"/>
    <s v="Boqueirão"/>
    <x v="31"/>
    <n v="4.5"/>
    <x v="0"/>
  </r>
  <r>
    <d v="2026-03-02T00:00:00"/>
    <x v="1"/>
    <d v="1899-12-30T17:39:00"/>
    <x v="4"/>
    <x v="9"/>
    <x v="4"/>
    <s v="Hauer"/>
    <x v="29"/>
    <n v="3.3"/>
    <x v="1"/>
  </r>
  <r>
    <d v="2026-03-02T00:00:00"/>
    <x v="1"/>
    <d v="1899-12-30T16:38:00"/>
    <x v="5"/>
    <x v="20"/>
    <x v="4"/>
    <s v="Boqueirão"/>
    <x v="70"/>
    <n v="2"/>
    <x v="2"/>
  </r>
  <r>
    <d v="2026-03-02T00:00:00"/>
    <x v="1"/>
    <d v="1899-12-30T17:29:00"/>
    <x v="4"/>
    <x v="33"/>
    <x v="1"/>
    <s v="Parolin"/>
    <x v="14"/>
    <n v="2.4"/>
    <x v="1"/>
  </r>
  <r>
    <d v="2026-03-02T00:00:00"/>
    <x v="1"/>
    <d v="1899-12-30T16:47:00"/>
    <x v="5"/>
    <x v="8"/>
    <x v="0"/>
    <s v="Sítio Cercado"/>
    <x v="12"/>
    <n v="1.3"/>
    <x v="2"/>
  </r>
  <r>
    <d v="2026-03-02T00:00:00"/>
    <x v="1"/>
    <d v="1899-12-30T18:34:00"/>
    <x v="7"/>
    <x v="31"/>
    <x v="8"/>
    <s v="Guaíra"/>
    <x v="55"/>
    <n v="1.2"/>
    <x v="2"/>
  </r>
  <r>
    <d v="2026-03-02T00:00:00"/>
    <x v="1"/>
    <d v="1899-12-30T15:42:00"/>
    <x v="8"/>
    <x v="11"/>
    <x v="0"/>
    <s v="Guaíra"/>
    <x v="6"/>
    <n v="0.8"/>
    <x v="2"/>
  </r>
  <r>
    <d v="2026-03-02T00:00:00"/>
    <x v="1"/>
    <d v="1899-12-30T15:30:00"/>
    <x v="8"/>
    <x v="16"/>
    <x v="0"/>
    <s v="Parolin"/>
    <x v="6"/>
    <n v="1.1000000000000001"/>
    <x v="2"/>
  </r>
  <r>
    <d v="2026-03-02T00:00:00"/>
    <x v="1"/>
    <d v="1899-12-30T16:09:00"/>
    <x v="5"/>
    <x v="12"/>
    <x v="0"/>
    <s v="Sítio Cercado"/>
    <x v="6"/>
    <n v="1.5"/>
    <x v="2"/>
  </r>
  <r>
    <d v="2026-03-02T00:00:00"/>
    <x v="1"/>
    <d v="1899-12-30T18:48:00"/>
    <x v="7"/>
    <x v="31"/>
    <x v="8"/>
    <s v="Guaíra"/>
    <x v="6"/>
    <n v="1.7"/>
    <x v="2"/>
  </r>
  <r>
    <d v="2026-03-02T00:00:00"/>
    <x v="1"/>
    <d v="1899-12-30T19:49:00"/>
    <x v="6"/>
    <x v="11"/>
    <x v="0"/>
    <s v="Boqueirão"/>
    <x v="7"/>
    <n v="2.2000000000000002"/>
    <x v="1"/>
  </r>
  <r>
    <d v="2026-03-02T00:00:00"/>
    <x v="1"/>
    <d v="1899-12-30T19:00:00"/>
    <x v="6"/>
    <x v="30"/>
    <x v="4"/>
    <s v="Portão"/>
    <x v="7"/>
    <n v="2.2999999999999998"/>
    <x v="1"/>
  </r>
  <r>
    <d v="2026-03-02T00:00:00"/>
    <x v="1"/>
    <d v="1899-12-30T15:05:00"/>
    <x v="8"/>
    <x v="0"/>
    <x v="0"/>
    <s v="Lindóia"/>
    <x v="7"/>
    <n v="1.2"/>
    <x v="2"/>
  </r>
  <r>
    <d v="2026-03-02T00:00:00"/>
    <x v="1"/>
    <d v="1899-12-30T19:55:00"/>
    <x v="6"/>
    <x v="0"/>
    <x v="0"/>
    <s v="Lindóia"/>
    <x v="7"/>
    <n v="1.9"/>
    <x v="2"/>
  </r>
  <r>
    <d v="2026-03-02T00:00:00"/>
    <x v="1"/>
    <d v="1899-12-30T15:11:00"/>
    <x v="8"/>
    <x v="17"/>
    <x v="0"/>
    <s v="Sítio Cercado"/>
    <x v="7"/>
    <n v="2.2000000000000002"/>
    <x v="1"/>
  </r>
  <r>
    <d v="2026-03-02T00:00:00"/>
    <x v="1"/>
    <d v="1899-12-30T18:16:00"/>
    <x v="7"/>
    <x v="31"/>
    <x v="8"/>
    <s v="Sítio Cercado"/>
    <x v="7"/>
    <n v="2"/>
    <x v="2"/>
  </r>
  <r>
    <d v="2026-03-02T00:00:00"/>
    <x v="1"/>
    <d v="1899-12-30T18:28:00"/>
    <x v="7"/>
    <x v="31"/>
    <x v="8"/>
    <s v="Alto Boqueirão"/>
    <x v="7"/>
    <n v="2.1"/>
    <x v="1"/>
  </r>
  <r>
    <d v="2026-03-02T00:00:00"/>
    <x v="1"/>
    <d v="1899-12-30T18:58:00"/>
    <x v="7"/>
    <x v="31"/>
    <x v="8"/>
    <s v="Guaíra"/>
    <x v="7"/>
    <n v="1.8"/>
    <x v="2"/>
  </r>
  <r>
    <d v="2026-03-03T00:00:00"/>
    <x v="1"/>
    <d v="1899-12-30T16:46:00"/>
    <x v="5"/>
    <x v="5"/>
    <x v="2"/>
    <s v="Boqueirão"/>
    <x v="71"/>
    <n v="6.4"/>
    <x v="0"/>
  </r>
  <r>
    <d v="2026-03-03T00:00:00"/>
    <x v="1"/>
    <d v="1899-12-30T17:22:00"/>
    <x v="4"/>
    <x v="0"/>
    <x v="0"/>
    <s v="Boqueirão"/>
    <x v="72"/>
    <n v="5.0999999999999996"/>
    <x v="0"/>
  </r>
  <r>
    <d v="2026-03-03T00:00:00"/>
    <x v="1"/>
    <d v="1899-12-30T19:03:00"/>
    <x v="6"/>
    <x v="31"/>
    <x v="8"/>
    <s v="Guaíra"/>
    <x v="18"/>
    <n v="6"/>
    <x v="0"/>
  </r>
  <r>
    <d v="2026-03-03T00:00:00"/>
    <x v="1"/>
    <d v="1899-12-30T17:12:00"/>
    <x v="4"/>
    <x v="0"/>
    <x v="0"/>
    <s v="Xaxim"/>
    <x v="73"/>
    <n v="3.5"/>
    <x v="1"/>
  </r>
  <r>
    <d v="2026-03-03T00:00:00"/>
    <x v="1"/>
    <d v="1899-12-30T18:16:00"/>
    <x v="7"/>
    <x v="9"/>
    <x v="4"/>
    <s v="Mercês"/>
    <x v="41"/>
    <n v="2.9"/>
    <x v="1"/>
  </r>
  <r>
    <d v="2026-03-03T00:00:00"/>
    <x v="1"/>
    <d v="1899-12-30T15:59:00"/>
    <x v="8"/>
    <x v="5"/>
    <x v="2"/>
    <s v="Bigorrílho"/>
    <x v="74"/>
    <n v="3"/>
    <x v="1"/>
  </r>
  <r>
    <d v="2026-03-03T00:00:00"/>
    <x v="1"/>
    <d v="1899-12-30T16:17:00"/>
    <x v="5"/>
    <x v="34"/>
    <x v="2"/>
    <s v="Pinheirinho"/>
    <x v="75"/>
    <n v="0.9"/>
    <x v="2"/>
  </r>
  <r>
    <d v="2026-03-03T00:00:00"/>
    <x v="1"/>
    <d v="1899-12-30T18:26:00"/>
    <x v="7"/>
    <x v="28"/>
    <x v="4"/>
    <s v="Xaxim"/>
    <x v="65"/>
    <n v="2.6"/>
    <x v="1"/>
  </r>
  <r>
    <d v="2026-03-03T00:00:00"/>
    <x v="1"/>
    <d v="1899-12-30T17:54:00"/>
    <x v="4"/>
    <x v="5"/>
    <x v="2"/>
    <s v="Centro"/>
    <x v="59"/>
    <n v="2.8"/>
    <x v="1"/>
  </r>
  <r>
    <d v="2026-03-03T00:00:00"/>
    <x v="1"/>
    <d v="1899-12-30T16:25:00"/>
    <x v="5"/>
    <x v="5"/>
    <x v="2"/>
    <s v="Boqueirão"/>
    <x v="27"/>
    <n v="2.6"/>
    <x v="1"/>
  </r>
  <r>
    <d v="2026-03-03T00:00:00"/>
    <x v="1"/>
    <d v="1899-12-30T17:44:00"/>
    <x v="4"/>
    <x v="9"/>
    <x v="4"/>
    <s v="Centro"/>
    <x v="24"/>
    <n v="1.5"/>
    <x v="2"/>
  </r>
  <r>
    <d v="2026-03-03T00:00:00"/>
    <x v="1"/>
    <d v="1899-12-30T15:38:00"/>
    <x v="8"/>
    <x v="19"/>
    <x v="2"/>
    <s v="Rebouças"/>
    <x v="12"/>
    <n v="1.7"/>
    <x v="2"/>
  </r>
  <r>
    <d v="2026-03-03T00:00:00"/>
    <x v="1"/>
    <d v="1899-12-30T15:33:00"/>
    <x v="8"/>
    <x v="5"/>
    <x v="2"/>
    <s v="Mercês"/>
    <x v="15"/>
    <n v="1.9"/>
    <x v="2"/>
  </r>
  <r>
    <d v="2026-03-03T00:00:00"/>
    <x v="1"/>
    <d v="1899-12-30T16:05:00"/>
    <x v="5"/>
    <x v="34"/>
    <x v="2"/>
    <s v="Centro"/>
    <x v="15"/>
    <n v="1.7"/>
    <x v="2"/>
  </r>
  <r>
    <d v="2026-03-03T00:00:00"/>
    <x v="1"/>
    <d v="1899-12-30T15:05:00"/>
    <x v="8"/>
    <x v="6"/>
    <x v="2"/>
    <s v="Centro"/>
    <x v="15"/>
    <n v="2.8"/>
    <x v="1"/>
  </r>
  <r>
    <d v="2026-03-03T00:00:00"/>
    <x v="1"/>
    <d v="1899-12-30T15:18:00"/>
    <x v="8"/>
    <x v="35"/>
    <x v="2"/>
    <s v="Hauer"/>
    <x v="7"/>
    <n v="1.9"/>
    <x v="2"/>
  </r>
  <r>
    <d v="2026-03-03T00:00:00"/>
    <x v="1"/>
    <d v="1899-12-30T17:43:00"/>
    <x v="4"/>
    <x v="9"/>
    <x v="4"/>
    <s v="Sítio Cercado"/>
    <x v="7"/>
    <n v="1"/>
    <x v="2"/>
  </r>
  <r>
    <d v="2026-03-03T00:00:00"/>
    <x v="1"/>
    <d v="1899-12-30T18:46:00"/>
    <x v="7"/>
    <x v="31"/>
    <x v="8"/>
    <s v="Sítio Cercado"/>
    <x v="7"/>
    <n v="1.8"/>
    <x v="2"/>
  </r>
  <r>
    <d v="2026-03-03T00:00:00"/>
    <x v="1"/>
    <d v="1899-12-30T18:55:00"/>
    <x v="7"/>
    <x v="31"/>
    <x v="8"/>
    <s v="Xaxim"/>
    <x v="7"/>
    <n v="2.4"/>
    <x v="1"/>
  </r>
  <r>
    <d v="2026-03-03T00:00:00"/>
    <x v="1"/>
    <d v="1899-12-30T18:07:00"/>
    <x v="7"/>
    <x v="28"/>
    <x v="4"/>
    <s v="Sítio Cercado"/>
    <x v="7"/>
    <n v="1.3"/>
    <x v="2"/>
  </r>
  <r>
    <d v="2026-03-03T00:00:00"/>
    <x v="1"/>
    <d v="1899-12-30T18:42:00"/>
    <x v="7"/>
    <x v="28"/>
    <x v="4"/>
    <s v="Portão"/>
    <x v="7"/>
    <n v="1.8"/>
    <x v="2"/>
  </r>
  <r>
    <d v="2026-03-04T00:00:00"/>
    <x v="1"/>
    <d v="1899-12-30T18:05:00"/>
    <x v="7"/>
    <x v="28"/>
    <x v="4"/>
    <s v="Hauer"/>
    <x v="76"/>
    <n v="6.4"/>
    <x v="0"/>
  </r>
  <r>
    <d v="2026-03-04T00:00:00"/>
    <x v="1"/>
    <d v="1899-12-30T17:39:00"/>
    <x v="4"/>
    <x v="20"/>
    <x v="4"/>
    <s v="Novo Mundo"/>
    <x v="77"/>
    <n v="2"/>
    <x v="2"/>
  </r>
  <r>
    <d v="2026-03-04T00:00:00"/>
    <x v="1"/>
    <d v="1899-12-30T18:54:00"/>
    <x v="7"/>
    <x v="21"/>
    <x v="0"/>
    <s v="Boqueirão"/>
    <x v="58"/>
    <n v="2.2999999999999998"/>
    <x v="1"/>
  </r>
  <r>
    <d v="2026-03-04T00:00:00"/>
    <x v="1"/>
    <d v="1899-12-30T16:52:00"/>
    <x v="5"/>
    <x v="20"/>
    <x v="4"/>
    <s v="Hauer"/>
    <x v="78"/>
    <n v="2.2000000000000002"/>
    <x v="1"/>
  </r>
  <r>
    <d v="2026-03-04T00:00:00"/>
    <x v="1"/>
    <d v="1899-12-30T17:21:00"/>
    <x v="4"/>
    <x v="10"/>
    <x v="1"/>
    <s v="Novo Mundo"/>
    <x v="14"/>
    <n v="3.5"/>
    <x v="1"/>
  </r>
  <r>
    <d v="2026-03-04T00:00:00"/>
    <x v="1"/>
    <d v="1899-12-30T18:26:00"/>
    <x v="7"/>
    <x v="17"/>
    <x v="0"/>
    <s v="Hauer"/>
    <x v="79"/>
    <n v="2.7"/>
    <x v="1"/>
  </r>
  <r>
    <d v="2026-03-04T00:00:00"/>
    <x v="1"/>
    <d v="1899-12-30T16:59:00"/>
    <x v="5"/>
    <x v="9"/>
    <x v="4"/>
    <s v="Fanny"/>
    <x v="80"/>
    <n v="1.4"/>
    <x v="2"/>
  </r>
  <r>
    <d v="2026-03-04T00:00:00"/>
    <x v="1"/>
    <d v="1899-12-30T16:06:00"/>
    <x v="5"/>
    <x v="20"/>
    <x v="4"/>
    <s v="Guabirotuba"/>
    <x v="5"/>
    <n v="3.1"/>
    <x v="1"/>
  </r>
  <r>
    <d v="2026-03-04T00:00:00"/>
    <x v="1"/>
    <d v="1899-12-30T17:11:00"/>
    <x v="4"/>
    <x v="10"/>
    <x v="1"/>
    <s v="Xaxim"/>
    <x v="55"/>
    <n v="1.1000000000000001"/>
    <x v="2"/>
  </r>
  <r>
    <d v="2026-03-04T00:00:00"/>
    <x v="1"/>
    <d v="1899-12-30T17:44:00"/>
    <x v="4"/>
    <x v="9"/>
    <x v="4"/>
    <s v="Guabirotuba"/>
    <x v="6"/>
    <n v="0.9"/>
    <x v="2"/>
  </r>
  <r>
    <d v="2026-03-04T00:00:00"/>
    <x v="1"/>
    <d v="1899-12-30T16:40:00"/>
    <x v="5"/>
    <x v="20"/>
    <x v="4"/>
    <s v="Guaíra"/>
    <x v="7"/>
    <n v="1.5"/>
    <x v="2"/>
  </r>
  <r>
    <d v="2026-03-04T00:00:00"/>
    <x v="1"/>
    <d v="1899-12-30T19:11:00"/>
    <x v="6"/>
    <x v="16"/>
    <x v="0"/>
    <s v="Novo Mundo"/>
    <x v="7"/>
    <n v="1.7"/>
    <x v="2"/>
  </r>
  <r>
    <d v="2026-03-04T00:00:00"/>
    <x v="1"/>
    <d v="1899-12-30T18:39:00"/>
    <x v="7"/>
    <x v="21"/>
    <x v="0"/>
    <s v="Fanny"/>
    <x v="7"/>
    <n v="0.7"/>
    <x v="2"/>
  </r>
  <r>
    <d v="2026-03-04T00:00:00"/>
    <x v="1"/>
    <d v="1899-12-30T19:00:00"/>
    <x v="6"/>
    <x v="21"/>
    <x v="0"/>
    <s v="Hauer"/>
    <x v="7"/>
    <n v="2.6"/>
    <x v="1"/>
  </r>
  <r>
    <d v="2026-03-04T00:00:00"/>
    <x v="1"/>
    <d v="1899-12-30T16:29:00"/>
    <x v="5"/>
    <x v="12"/>
    <x v="0"/>
    <s v="Xaxim"/>
    <x v="7"/>
    <n v="1.6"/>
    <x v="2"/>
  </r>
  <r>
    <d v="2026-03-04T00:00:00"/>
    <x v="1"/>
    <d v="1899-12-30T17:55:00"/>
    <x v="4"/>
    <x v="28"/>
    <x v="4"/>
    <s v="Fanny"/>
    <x v="7"/>
    <n v="1.2"/>
    <x v="2"/>
  </r>
  <r>
    <d v="2026-03-05T00:00:00"/>
    <x v="1"/>
    <d v="1899-12-30T17:08:00"/>
    <x v="4"/>
    <x v="12"/>
    <x v="0"/>
    <s v="Guabirotuba"/>
    <x v="81"/>
    <n v="1.2"/>
    <x v="2"/>
  </r>
  <r>
    <d v="2026-03-05T00:00:00"/>
    <x v="1"/>
    <d v="1899-12-30T17:43:00"/>
    <x v="4"/>
    <x v="9"/>
    <x v="4"/>
    <s v="Hauer"/>
    <x v="23"/>
    <n v="2.5"/>
    <x v="1"/>
  </r>
  <r>
    <d v="2026-03-05T00:00:00"/>
    <x v="1"/>
    <d v="1899-12-30T15:37:00"/>
    <x v="8"/>
    <x v="28"/>
    <x v="4"/>
    <s v="Guaíra"/>
    <x v="74"/>
    <n v="3.8"/>
    <x v="1"/>
  </r>
  <r>
    <d v="2026-03-05T00:00:00"/>
    <x v="1"/>
    <d v="1899-12-30T19:34:00"/>
    <x v="6"/>
    <x v="20"/>
    <x v="4"/>
    <s v="Lindóia"/>
    <x v="29"/>
    <n v="4.0999999999999996"/>
    <x v="0"/>
  </r>
  <r>
    <d v="2026-03-05T00:00:00"/>
    <x v="1"/>
    <d v="1899-12-30T16:15:00"/>
    <x v="5"/>
    <x v="0"/>
    <x v="0"/>
    <s v="Boqueirão"/>
    <x v="52"/>
    <n v="2.2999999999999998"/>
    <x v="1"/>
  </r>
  <r>
    <d v="2026-03-05T00:00:00"/>
    <x v="1"/>
    <d v="1899-12-30T17:56:00"/>
    <x v="4"/>
    <x v="9"/>
    <x v="4"/>
    <s v="Hauer"/>
    <x v="47"/>
    <n v="3.3"/>
    <x v="1"/>
  </r>
  <r>
    <d v="2026-03-05T00:00:00"/>
    <x v="1"/>
    <d v="1899-12-30T17:23:00"/>
    <x v="4"/>
    <x v="20"/>
    <x v="4"/>
    <s v="Capão Raso"/>
    <x v="65"/>
    <n v="2"/>
    <x v="2"/>
  </r>
  <r>
    <d v="2026-03-05T00:00:00"/>
    <x v="1"/>
    <d v="1899-12-30T18:50:00"/>
    <x v="7"/>
    <x v="28"/>
    <x v="4"/>
    <s v="Boqueirão"/>
    <x v="65"/>
    <n v="2.8"/>
    <x v="1"/>
  </r>
  <r>
    <d v="2026-03-05T00:00:00"/>
    <x v="1"/>
    <d v="1899-12-30T19:03:00"/>
    <x v="6"/>
    <x v="21"/>
    <x v="0"/>
    <s v="Boqueirão"/>
    <x v="59"/>
    <n v="4.5999999999999996"/>
    <x v="0"/>
  </r>
  <r>
    <d v="2026-03-05T00:00:00"/>
    <x v="1"/>
    <d v="1899-12-30T18:25:00"/>
    <x v="7"/>
    <x v="9"/>
    <x v="4"/>
    <s v="Água Verde"/>
    <x v="79"/>
    <n v="2.6"/>
    <x v="1"/>
  </r>
  <r>
    <d v="2026-03-05T00:00:00"/>
    <x v="1"/>
    <d v="1899-12-30T16:46:00"/>
    <x v="5"/>
    <x v="11"/>
    <x v="0"/>
    <s v="Guaíra"/>
    <x v="33"/>
    <n v="2"/>
    <x v="2"/>
  </r>
  <r>
    <d v="2026-03-05T00:00:00"/>
    <x v="1"/>
    <d v="1899-12-30T16:48:00"/>
    <x v="5"/>
    <x v="11"/>
    <x v="0"/>
    <s v="Novo Mundo"/>
    <x v="55"/>
    <n v="3.1"/>
    <x v="1"/>
  </r>
  <r>
    <d v="2026-03-05T00:00:00"/>
    <x v="1"/>
    <d v="1899-12-30T19:54:00"/>
    <x v="6"/>
    <x v="17"/>
    <x v="0"/>
    <s v="Boqueirão"/>
    <x v="55"/>
    <n v="1.1000000000000001"/>
    <x v="2"/>
  </r>
  <r>
    <d v="2026-03-05T00:00:00"/>
    <x v="1"/>
    <d v="1899-12-30T15:04:00"/>
    <x v="8"/>
    <x v="9"/>
    <x v="4"/>
    <s v="Xaxim"/>
    <x v="6"/>
    <n v="0.8"/>
    <x v="2"/>
  </r>
  <r>
    <d v="2026-03-05T00:00:00"/>
    <x v="1"/>
    <d v="1899-12-30T15:08:00"/>
    <x v="8"/>
    <x v="9"/>
    <x v="4"/>
    <s v="Parolin"/>
    <x v="6"/>
    <n v="1.7"/>
    <x v="2"/>
  </r>
  <r>
    <d v="2026-03-05T00:00:00"/>
    <x v="1"/>
    <d v="1899-12-30T16:07:00"/>
    <x v="5"/>
    <x v="8"/>
    <x v="0"/>
    <s v="Parolin"/>
    <x v="6"/>
    <n v="1.7"/>
    <x v="2"/>
  </r>
  <r>
    <d v="2026-03-05T00:00:00"/>
    <x v="1"/>
    <d v="1899-12-30T20:05:00"/>
    <x v="9"/>
    <x v="21"/>
    <x v="0"/>
    <s v="Parolin"/>
    <x v="6"/>
    <n v="2.2999999999999998"/>
    <x v="1"/>
  </r>
  <r>
    <d v="2026-03-05T00:00:00"/>
    <x v="1"/>
    <d v="1899-12-30T16:52:00"/>
    <x v="5"/>
    <x v="12"/>
    <x v="0"/>
    <s v="Boqueirão"/>
    <x v="6"/>
    <n v="1.2"/>
    <x v="2"/>
  </r>
  <r>
    <d v="2026-03-05T00:00:00"/>
    <x v="1"/>
    <d v="1899-12-30T18:13:00"/>
    <x v="7"/>
    <x v="9"/>
    <x v="4"/>
    <s v="Xaxim"/>
    <x v="7"/>
    <n v="2.2000000000000002"/>
    <x v="1"/>
  </r>
  <r>
    <d v="2026-03-05T00:00:00"/>
    <x v="1"/>
    <d v="1899-12-30T18:37:00"/>
    <x v="7"/>
    <x v="9"/>
    <x v="4"/>
    <s v="Boqueirão"/>
    <x v="7"/>
    <n v="3.1"/>
    <x v="1"/>
  </r>
  <r>
    <d v="2026-03-05T00:00:00"/>
    <x v="1"/>
    <d v="1899-12-30T19:19:00"/>
    <x v="6"/>
    <x v="9"/>
    <x v="4"/>
    <s v="Fanny"/>
    <x v="7"/>
    <n v="1.6"/>
    <x v="2"/>
  </r>
  <r>
    <d v="2026-03-05T00:00:00"/>
    <x v="1"/>
    <d v="1899-12-30T16:02:00"/>
    <x v="5"/>
    <x v="8"/>
    <x v="0"/>
    <s v="Hauer"/>
    <x v="7"/>
    <n v="1"/>
    <x v="2"/>
  </r>
  <r>
    <d v="2026-03-05T00:00:00"/>
    <x v="1"/>
    <d v="1899-12-30T19:26:00"/>
    <x v="6"/>
    <x v="20"/>
    <x v="4"/>
    <s v="Portão"/>
    <x v="7"/>
    <n v="1.2"/>
    <x v="2"/>
  </r>
  <r>
    <d v="2026-03-05T00:00:00"/>
    <x v="1"/>
    <d v="1899-12-30T16:21:00"/>
    <x v="5"/>
    <x v="21"/>
    <x v="0"/>
    <s v="Hauer"/>
    <x v="7"/>
    <n v="1.7"/>
    <x v="2"/>
  </r>
  <r>
    <d v="2026-03-05T00:00:00"/>
    <x v="1"/>
    <d v="1899-12-30T15:46:00"/>
    <x v="8"/>
    <x v="33"/>
    <x v="1"/>
    <s v="Xaxim"/>
    <x v="7"/>
    <n v="2.5"/>
    <x v="1"/>
  </r>
  <r>
    <d v="2026-03-05T00:00:00"/>
    <x v="1"/>
    <d v="1899-12-30T15:26:00"/>
    <x v="8"/>
    <x v="28"/>
    <x v="4"/>
    <s v="Boqueirão"/>
    <x v="7"/>
    <n v="1.6"/>
    <x v="2"/>
  </r>
  <r>
    <d v="2026-03-06T00:00:00"/>
    <x v="1"/>
    <d v="1899-12-30T17:14:00"/>
    <x v="4"/>
    <x v="12"/>
    <x v="0"/>
    <s v="Xaxim"/>
    <x v="82"/>
    <n v="7.1"/>
    <x v="0"/>
  </r>
  <r>
    <d v="2026-03-06T00:00:00"/>
    <x v="1"/>
    <d v="1899-12-30T17:59:00"/>
    <x v="4"/>
    <x v="20"/>
    <x v="4"/>
    <s v="Fanny"/>
    <x v="83"/>
    <n v="4.4000000000000004"/>
    <x v="0"/>
  </r>
  <r>
    <d v="2026-03-06T00:00:00"/>
    <x v="1"/>
    <d v="1899-12-30T16:38:00"/>
    <x v="5"/>
    <x v="20"/>
    <x v="4"/>
    <s v="Xaxim"/>
    <x v="84"/>
    <n v="2.6"/>
    <x v="1"/>
  </r>
  <r>
    <d v="2026-03-06T00:00:00"/>
    <x v="1"/>
    <d v="1899-12-30T18:29:00"/>
    <x v="7"/>
    <x v="9"/>
    <x v="4"/>
    <s v="Rebouças"/>
    <x v="68"/>
    <n v="3.7"/>
    <x v="1"/>
  </r>
  <r>
    <d v="2026-03-06T00:00:00"/>
    <x v="1"/>
    <d v="1899-12-30T17:04:00"/>
    <x v="4"/>
    <x v="0"/>
    <x v="0"/>
    <s v="Hauer"/>
    <x v="72"/>
    <n v="3.4"/>
    <x v="1"/>
  </r>
  <r>
    <d v="2026-03-06T00:00:00"/>
    <x v="1"/>
    <d v="1899-12-30T17:43:00"/>
    <x v="4"/>
    <x v="33"/>
    <x v="1"/>
    <s v="Sítio Cercado"/>
    <x v="64"/>
    <n v="2"/>
    <x v="2"/>
  </r>
  <r>
    <d v="2026-03-06T00:00:00"/>
    <x v="1"/>
    <d v="1899-12-30T18:46:00"/>
    <x v="7"/>
    <x v="28"/>
    <x v="4"/>
    <s v="Sítio Cercado"/>
    <x v="45"/>
    <n v="3.2"/>
    <x v="1"/>
  </r>
  <r>
    <d v="2026-03-06T00:00:00"/>
    <x v="1"/>
    <d v="1899-12-30T19:16:00"/>
    <x v="6"/>
    <x v="31"/>
    <x v="8"/>
    <s v="Lindóia"/>
    <x v="31"/>
    <n v="2.8"/>
    <x v="1"/>
  </r>
  <r>
    <d v="2026-03-06T00:00:00"/>
    <x v="1"/>
    <d v="1899-12-30T16:52:00"/>
    <x v="5"/>
    <x v="16"/>
    <x v="0"/>
    <s v="Boqueirão"/>
    <x v="85"/>
    <n v="1.4"/>
    <x v="2"/>
  </r>
  <r>
    <d v="2026-03-06T00:00:00"/>
    <x v="1"/>
    <d v="1899-12-30T18:22:00"/>
    <x v="7"/>
    <x v="28"/>
    <x v="4"/>
    <s v="Sítio Cercado"/>
    <x v="79"/>
    <n v="2.1"/>
    <x v="1"/>
  </r>
  <r>
    <d v="2026-03-06T00:00:00"/>
    <x v="1"/>
    <d v="1899-12-30T19:03:00"/>
    <x v="6"/>
    <x v="29"/>
    <x v="5"/>
    <s v="Sítio Cercado"/>
    <x v="55"/>
    <n v="2.5"/>
    <x v="1"/>
  </r>
  <r>
    <d v="2026-03-06T00:00:00"/>
    <x v="1"/>
    <d v="1899-12-30T20:10:00"/>
    <x v="9"/>
    <x v="31"/>
    <x v="8"/>
    <s v="Fanny"/>
    <x v="55"/>
    <n v="2.5"/>
    <x v="1"/>
  </r>
  <r>
    <d v="2026-03-06T00:00:00"/>
    <x v="1"/>
    <d v="1899-12-30T15:18:00"/>
    <x v="8"/>
    <x v="16"/>
    <x v="0"/>
    <s v="Sítio Cercado"/>
    <x v="6"/>
    <n v="1.7"/>
    <x v="2"/>
  </r>
  <r>
    <d v="2026-03-06T00:00:00"/>
    <x v="1"/>
    <d v="1899-12-30T19:28:00"/>
    <x v="6"/>
    <x v="31"/>
    <x v="8"/>
    <s v="Sítio Cercado"/>
    <x v="6"/>
    <n v="1.4"/>
    <x v="2"/>
  </r>
  <r>
    <d v="2026-03-06T00:00:00"/>
    <x v="1"/>
    <d v="1899-12-30T19:33:00"/>
    <x v="6"/>
    <x v="31"/>
    <x v="8"/>
    <s v="Sítio Cercado"/>
    <x v="6"/>
    <n v="1.8"/>
    <x v="2"/>
  </r>
  <r>
    <d v="2026-03-06T00:00:00"/>
    <x v="1"/>
    <d v="1899-12-30T19:58:00"/>
    <x v="6"/>
    <x v="31"/>
    <x v="8"/>
    <s v="Portão"/>
    <x v="6"/>
    <n v="2.2999999999999998"/>
    <x v="1"/>
  </r>
  <r>
    <d v="2026-03-06T00:00:00"/>
    <x v="1"/>
    <d v="1899-12-30T15:11:00"/>
    <x v="8"/>
    <x v="17"/>
    <x v="0"/>
    <s v="Sítio Cercado"/>
    <x v="7"/>
    <n v="2"/>
    <x v="2"/>
  </r>
  <r>
    <d v="2026-03-06T00:00:00"/>
    <x v="1"/>
    <d v="1899-12-30T19:40:00"/>
    <x v="6"/>
    <x v="31"/>
    <x v="8"/>
    <s v="Sítio Cercado"/>
    <x v="7"/>
    <n v="1.2"/>
    <x v="2"/>
  </r>
  <r>
    <d v="2026-03-06T00:00:00"/>
    <x v="1"/>
    <d v="1899-12-30T19:49:00"/>
    <x v="6"/>
    <x v="31"/>
    <x v="8"/>
    <s v="Cidade Industrial de Curitiba"/>
    <x v="7"/>
    <n v="0.6"/>
    <x v="2"/>
  </r>
  <r>
    <d v="2026-03-09T00:00:00"/>
    <x v="1"/>
    <d v="1899-12-30T15:39:00"/>
    <x v="8"/>
    <x v="21"/>
    <x v="0"/>
    <s v="Sítio Cercado"/>
    <x v="86"/>
    <n v="3.3"/>
    <x v="1"/>
  </r>
  <r>
    <d v="2026-03-09T00:00:00"/>
    <x v="1"/>
    <d v="1899-12-30T17:07:00"/>
    <x v="4"/>
    <x v="29"/>
    <x v="5"/>
    <s v="Pinheirinho"/>
    <x v="38"/>
    <n v="3.1"/>
    <x v="1"/>
  </r>
  <r>
    <d v="2026-03-09T00:00:00"/>
    <x v="1"/>
    <d v="1899-12-30T17:33:00"/>
    <x v="4"/>
    <x v="29"/>
    <x v="5"/>
    <s v="Pinheirinho"/>
    <x v="32"/>
    <n v="2.7"/>
    <x v="1"/>
  </r>
  <r>
    <d v="2026-03-09T00:00:00"/>
    <x v="1"/>
    <d v="1899-12-30T16:50:00"/>
    <x v="5"/>
    <x v="18"/>
    <x v="5"/>
    <s v="Novo Mundo"/>
    <x v="75"/>
    <n v="3"/>
    <x v="1"/>
  </r>
  <r>
    <d v="2026-03-09T00:00:00"/>
    <x v="1"/>
    <d v="1899-12-30T18:25:00"/>
    <x v="7"/>
    <x v="21"/>
    <x v="0"/>
    <s v="Xaxim"/>
    <x v="87"/>
    <n v="2.8"/>
    <x v="1"/>
  </r>
  <r>
    <d v="2026-03-09T00:00:00"/>
    <x v="1"/>
    <d v="1899-12-30T18:14:00"/>
    <x v="7"/>
    <x v="29"/>
    <x v="5"/>
    <s v="Pinheirinho"/>
    <x v="70"/>
    <n v="2.5"/>
    <x v="1"/>
  </r>
  <r>
    <d v="2026-03-09T00:00:00"/>
    <x v="1"/>
    <d v="1899-12-30T18:02:00"/>
    <x v="7"/>
    <x v="29"/>
    <x v="5"/>
    <s v="Capão Raso"/>
    <x v="65"/>
    <n v="2.2999999999999998"/>
    <x v="1"/>
  </r>
  <r>
    <d v="2026-03-09T00:00:00"/>
    <x v="1"/>
    <d v="1899-12-30T16:39:00"/>
    <x v="5"/>
    <x v="21"/>
    <x v="0"/>
    <s v="Portão"/>
    <x v="88"/>
    <n v="1.8"/>
    <x v="2"/>
  </r>
  <r>
    <d v="2026-03-09T00:00:00"/>
    <x v="1"/>
    <d v="1899-12-30T19:01:00"/>
    <x v="6"/>
    <x v="21"/>
    <x v="0"/>
    <s v="Pinheirinho"/>
    <x v="63"/>
    <n v="1.8"/>
    <x v="2"/>
  </r>
  <r>
    <d v="2026-03-09T00:00:00"/>
    <x v="1"/>
    <d v="1899-12-30T17:23:00"/>
    <x v="4"/>
    <x v="31"/>
    <x v="8"/>
    <s v="Novo Mundo"/>
    <x v="55"/>
    <n v="2.6"/>
    <x v="1"/>
  </r>
  <r>
    <d v="2026-03-09T00:00:00"/>
    <x v="1"/>
    <d v="1899-12-30T18:48:00"/>
    <x v="7"/>
    <x v="18"/>
    <x v="5"/>
    <s v="Cidade Industrial de Curitiba"/>
    <x v="6"/>
    <n v="2.2999999999999998"/>
    <x v="1"/>
  </r>
  <r>
    <d v="2026-03-09T00:00:00"/>
    <x v="1"/>
    <d v="1899-12-30T15:55:00"/>
    <x v="8"/>
    <x v="26"/>
    <x v="7"/>
    <s v="Lindóia"/>
    <x v="6"/>
    <n v="3.2"/>
    <x v="1"/>
  </r>
  <r>
    <d v="2026-03-09T00:00:00"/>
    <x v="1"/>
    <d v="1899-12-30T15:06:00"/>
    <x v="8"/>
    <x v="8"/>
    <x v="0"/>
    <s v="Fazendinha"/>
    <x v="6"/>
    <n v="1.1000000000000001"/>
    <x v="2"/>
  </r>
  <r>
    <d v="2026-03-09T00:00:00"/>
    <x v="1"/>
    <d v="1899-12-30T16:11:00"/>
    <x v="5"/>
    <x v="27"/>
    <x v="0"/>
    <s v="Novo Mundo"/>
    <x v="6"/>
    <n v="1.1000000000000001"/>
    <x v="2"/>
  </r>
  <r>
    <d v="2026-03-09T00:00:00"/>
    <x v="1"/>
    <d v="1899-12-30T15:15:00"/>
    <x v="8"/>
    <x v="11"/>
    <x v="0"/>
    <s v="Novo Mundo"/>
    <x v="7"/>
    <n v="0.6"/>
    <x v="2"/>
  </r>
  <r>
    <d v="2026-03-09T00:00:00"/>
    <x v="1"/>
    <d v="1899-12-30T15:10:00"/>
    <x v="8"/>
    <x v="8"/>
    <x v="0"/>
    <s v="Novo Mundo"/>
    <x v="7"/>
    <n v="1.4"/>
    <x v="2"/>
  </r>
  <r>
    <d v="2026-03-09T00:00:00"/>
    <x v="1"/>
    <d v="1899-12-30T16:27:00"/>
    <x v="5"/>
    <x v="27"/>
    <x v="0"/>
    <s v="Novo Mundo"/>
    <x v="7"/>
    <n v="3.3"/>
    <x v="1"/>
  </r>
  <r>
    <d v="2026-03-09T00:00:00"/>
    <x v="1"/>
    <d v="1899-12-30T15:22:00"/>
    <x v="8"/>
    <x v="21"/>
    <x v="0"/>
    <s v="Novo Mundo"/>
    <x v="7"/>
    <n v="1.5"/>
    <x v="2"/>
  </r>
  <r>
    <d v="2026-03-09T00:00:00"/>
    <x v="1"/>
    <d v="1899-12-30T18:33:00"/>
    <x v="7"/>
    <x v="21"/>
    <x v="0"/>
    <s v="Portão"/>
    <x v="7"/>
    <n v="1.9"/>
    <x v="2"/>
  </r>
  <r>
    <d v="2026-03-09T00:00:00"/>
    <x v="1"/>
    <d v="1899-12-30T19:19:00"/>
    <x v="6"/>
    <x v="21"/>
    <x v="0"/>
    <s v="Pinheirinho"/>
    <x v="7"/>
    <n v="1.1000000000000001"/>
    <x v="2"/>
  </r>
  <r>
    <d v="2026-03-09T00:00:00"/>
    <x v="1"/>
    <d v="1899-12-30T17:48:00"/>
    <x v="4"/>
    <x v="29"/>
    <x v="5"/>
    <s v="Novo Mundo"/>
    <x v="7"/>
    <n v="2.2000000000000002"/>
    <x v="1"/>
  </r>
  <r>
    <d v="2026-03-09T00:00:00"/>
    <x v="1"/>
    <d v="1899-12-30T19:06:00"/>
    <x v="6"/>
    <x v="17"/>
    <x v="0"/>
    <s v="Guaíra"/>
    <x v="7"/>
    <n v="2.1"/>
    <x v="1"/>
  </r>
  <r>
    <d v="2026-03-09T00:00:00"/>
    <x v="1"/>
    <d v="1899-12-30T19:27:00"/>
    <x v="6"/>
    <x v="17"/>
    <x v="0"/>
    <s v="Portão"/>
    <x v="7"/>
    <n v="3"/>
    <x v="1"/>
  </r>
  <r>
    <d v="2026-03-10T00:00:00"/>
    <x v="1"/>
    <d v="1899-12-30T18:10:00"/>
    <x v="7"/>
    <x v="14"/>
    <x v="0"/>
    <s v="Campo Comprido"/>
    <x v="68"/>
    <n v="3.9"/>
    <x v="1"/>
  </r>
  <r>
    <d v="2026-03-10T00:00:00"/>
    <x v="1"/>
    <d v="1899-12-30T17:39:00"/>
    <x v="4"/>
    <x v="14"/>
    <x v="0"/>
    <s v="Santa Quitéria"/>
    <x v="89"/>
    <n v="2.6"/>
    <x v="1"/>
  </r>
  <r>
    <d v="2026-03-10T00:00:00"/>
    <x v="1"/>
    <d v="1899-12-30T16:43:00"/>
    <x v="5"/>
    <x v="11"/>
    <x v="0"/>
    <s v="Água Verde"/>
    <x v="23"/>
    <n v="2.8"/>
    <x v="1"/>
  </r>
  <r>
    <d v="2026-03-10T00:00:00"/>
    <x v="1"/>
    <d v="1899-12-30T16:18:00"/>
    <x v="5"/>
    <x v="11"/>
    <x v="0"/>
    <s v="Guaíra"/>
    <x v="24"/>
    <n v="2.9"/>
    <x v="1"/>
  </r>
  <r>
    <d v="2026-03-10T00:00:00"/>
    <x v="1"/>
    <d v="1899-12-30T15:17:00"/>
    <x v="8"/>
    <x v="0"/>
    <x v="0"/>
    <s v="Água Verde"/>
    <x v="12"/>
    <n v="0.6"/>
    <x v="2"/>
  </r>
  <r>
    <d v="2026-03-10T00:00:00"/>
    <x v="1"/>
    <d v="1899-12-30T16:13:00"/>
    <x v="5"/>
    <x v="11"/>
    <x v="0"/>
    <s v="Água Verde"/>
    <x v="55"/>
    <n v="2.5"/>
    <x v="1"/>
  </r>
  <r>
    <d v="2026-03-10T00:00:00"/>
    <x v="1"/>
    <d v="1899-12-30T18:59:00"/>
    <x v="7"/>
    <x v="16"/>
    <x v="0"/>
    <s v="Água Verde"/>
    <x v="6"/>
    <n v="2.7"/>
    <x v="1"/>
  </r>
  <r>
    <d v="2026-03-10T00:00:00"/>
    <x v="1"/>
    <d v="1899-12-30T16:35:00"/>
    <x v="5"/>
    <x v="11"/>
    <x v="0"/>
    <s v="Parolin"/>
    <x v="7"/>
    <n v="1.7"/>
    <x v="2"/>
  </r>
  <r>
    <d v="2026-03-10T00:00:00"/>
    <x v="1"/>
    <d v="1899-12-30T16:00:00"/>
    <x v="5"/>
    <x v="5"/>
    <x v="2"/>
    <s v="Água Verde"/>
    <x v="7"/>
    <n v="1.5"/>
    <x v="2"/>
  </r>
  <r>
    <d v="2026-03-10T00:00:00"/>
    <x v="1"/>
    <d v="1899-12-30T16:02:00"/>
    <x v="5"/>
    <x v="0"/>
    <x v="0"/>
    <s v="Portão"/>
    <x v="7"/>
    <n v="2.2999999999999998"/>
    <x v="1"/>
  </r>
  <r>
    <d v="2026-03-10T00:00:00"/>
    <x v="1"/>
    <d v="1899-12-30T19:21:00"/>
    <x v="6"/>
    <x v="0"/>
    <x v="0"/>
    <s v="Novo Mundo"/>
    <x v="7"/>
    <n v="1.2"/>
    <x v="2"/>
  </r>
  <r>
    <d v="2026-03-10T00:00:00"/>
    <x v="1"/>
    <d v="1899-12-30T18:54:00"/>
    <x v="7"/>
    <x v="21"/>
    <x v="0"/>
    <s v="Novo Mundo"/>
    <x v="7"/>
    <n v="2.1"/>
    <x v="1"/>
  </r>
  <r>
    <d v="2026-03-10T00:00:00"/>
    <x v="1"/>
    <d v="1899-12-30T18:37:00"/>
    <x v="7"/>
    <x v="17"/>
    <x v="0"/>
    <s v="Uberaba"/>
    <x v="7"/>
    <n v="2"/>
    <x v="2"/>
  </r>
  <r>
    <d v="2026-03-11T00:00:00"/>
    <x v="1"/>
    <d v="1899-12-30T17:23:00"/>
    <x v="4"/>
    <x v="8"/>
    <x v="0"/>
    <s v="Xaxim"/>
    <x v="54"/>
    <n v="7.4"/>
    <x v="0"/>
  </r>
  <r>
    <d v="2026-03-11T00:00:00"/>
    <x v="1"/>
    <d v="1899-12-30T19:02:00"/>
    <x v="6"/>
    <x v="12"/>
    <x v="0"/>
    <s v="Boqueirão"/>
    <x v="90"/>
    <n v="6.5"/>
    <x v="0"/>
  </r>
  <r>
    <d v="2026-03-11T00:00:00"/>
    <x v="1"/>
    <d v="1899-12-30T17:58:00"/>
    <x v="4"/>
    <x v="9"/>
    <x v="4"/>
    <s v="Parolin"/>
    <x v="91"/>
    <n v="2.2999999999999998"/>
    <x v="1"/>
  </r>
  <r>
    <d v="2026-03-11T00:00:00"/>
    <x v="1"/>
    <d v="1899-12-30T18:53:00"/>
    <x v="7"/>
    <x v="18"/>
    <x v="5"/>
    <s v="Boqueirão"/>
    <x v="92"/>
    <n v="5"/>
    <x v="0"/>
  </r>
  <r>
    <d v="2026-03-11T00:00:00"/>
    <x v="1"/>
    <d v="1899-12-30T19:27:00"/>
    <x v="6"/>
    <x v="9"/>
    <x v="4"/>
    <s v="Fanny"/>
    <x v="38"/>
    <n v="4.4000000000000004"/>
    <x v="0"/>
  </r>
  <r>
    <d v="2026-03-11T00:00:00"/>
    <x v="1"/>
    <d v="1899-12-30T17:16:00"/>
    <x v="4"/>
    <x v="12"/>
    <x v="0"/>
    <s v="Boqueirão"/>
    <x v="52"/>
    <n v="1.4"/>
    <x v="2"/>
  </r>
  <r>
    <d v="2026-03-11T00:00:00"/>
    <x v="1"/>
    <d v="1899-12-30T18:25:00"/>
    <x v="7"/>
    <x v="9"/>
    <x v="4"/>
    <s v="Guaíra"/>
    <x v="27"/>
    <n v="2.2999999999999998"/>
    <x v="1"/>
  </r>
  <r>
    <d v="2026-03-11T00:00:00"/>
    <x v="1"/>
    <d v="1899-12-30T16:49:00"/>
    <x v="5"/>
    <x v="0"/>
    <x v="0"/>
    <s v="Boqueirão"/>
    <x v="93"/>
    <n v="3.8"/>
    <x v="1"/>
  </r>
  <r>
    <d v="2026-03-11T00:00:00"/>
    <x v="1"/>
    <d v="1899-12-30T18:07:00"/>
    <x v="7"/>
    <x v="9"/>
    <x v="4"/>
    <s v="Parolin"/>
    <x v="34"/>
    <n v="1.2"/>
    <x v="2"/>
  </r>
  <r>
    <d v="2026-03-11T00:00:00"/>
    <x v="1"/>
    <d v="1899-12-30T16:44:00"/>
    <x v="5"/>
    <x v="0"/>
    <x v="0"/>
    <s v="Xaxim"/>
    <x v="34"/>
    <n v="0.9"/>
    <x v="2"/>
  </r>
  <r>
    <d v="2026-03-11T00:00:00"/>
    <x v="1"/>
    <d v="1899-12-30T19:56:00"/>
    <x v="6"/>
    <x v="28"/>
    <x v="4"/>
    <s v="Boqueirão"/>
    <x v="15"/>
    <n v="1.6"/>
    <x v="2"/>
  </r>
  <r>
    <d v="2026-03-11T00:00:00"/>
    <x v="1"/>
    <d v="1899-12-30T18:17:00"/>
    <x v="7"/>
    <x v="9"/>
    <x v="4"/>
    <s v="Hauer"/>
    <x v="6"/>
    <n v="1.9"/>
    <x v="2"/>
  </r>
  <r>
    <d v="2026-03-11T00:00:00"/>
    <x v="1"/>
    <d v="1899-12-30T16:07:00"/>
    <x v="5"/>
    <x v="9"/>
    <x v="4"/>
    <s v="Xaxim"/>
    <x v="7"/>
    <n v="2.1"/>
    <x v="1"/>
  </r>
  <r>
    <d v="2026-03-11T00:00:00"/>
    <x v="1"/>
    <d v="1899-12-30T18:38:00"/>
    <x v="7"/>
    <x v="9"/>
    <x v="4"/>
    <s v="Xaxim"/>
    <x v="7"/>
    <n v="1.6"/>
    <x v="2"/>
  </r>
  <r>
    <d v="2026-03-11T00:00:00"/>
    <x v="1"/>
    <d v="1899-12-30T19:46:00"/>
    <x v="6"/>
    <x v="9"/>
    <x v="4"/>
    <s v="Lindóia"/>
    <x v="7"/>
    <n v="1.6"/>
    <x v="2"/>
  </r>
  <r>
    <d v="2026-03-11T00:00:00"/>
    <x v="1"/>
    <d v="1899-12-30T16:35:00"/>
    <x v="5"/>
    <x v="16"/>
    <x v="0"/>
    <s v="Hauer"/>
    <x v="7"/>
    <n v="0.6"/>
    <x v="2"/>
  </r>
  <r>
    <d v="2026-03-12T00:00:00"/>
    <x v="1"/>
    <d v="1899-12-30T18:28:00"/>
    <x v="7"/>
    <x v="30"/>
    <x v="4"/>
    <s v="Boqueirão"/>
    <x v="94"/>
    <n v="7.2"/>
    <x v="0"/>
  </r>
  <r>
    <d v="2026-03-12T00:00:00"/>
    <x v="1"/>
    <d v="1899-12-30T17:33:00"/>
    <x v="4"/>
    <x v="28"/>
    <x v="4"/>
    <s v="Boqueirão"/>
    <x v="9"/>
    <n v="5.2"/>
    <x v="0"/>
  </r>
  <r>
    <d v="2026-03-12T00:00:00"/>
    <x v="1"/>
    <d v="1899-12-30T18:44:00"/>
    <x v="7"/>
    <x v="20"/>
    <x v="4"/>
    <s v="Parolin"/>
    <x v="23"/>
    <n v="3.1"/>
    <x v="1"/>
  </r>
  <r>
    <d v="2026-03-12T00:00:00"/>
    <x v="1"/>
    <d v="1899-12-30T19:00:00"/>
    <x v="6"/>
    <x v="20"/>
    <x v="4"/>
    <s v="Rebouças"/>
    <x v="50"/>
    <n v="3.7"/>
    <x v="1"/>
  </r>
  <r>
    <d v="2026-03-12T00:00:00"/>
    <x v="1"/>
    <d v="1899-12-30T19:36:00"/>
    <x v="6"/>
    <x v="19"/>
    <x v="2"/>
    <s v="Guaíra"/>
    <x v="65"/>
    <n v="2.8"/>
    <x v="1"/>
  </r>
  <r>
    <d v="2026-03-12T00:00:00"/>
    <x v="1"/>
    <d v="1899-12-30T16:07:00"/>
    <x v="5"/>
    <x v="11"/>
    <x v="0"/>
    <s v="Lindóia"/>
    <x v="27"/>
    <n v="3.5"/>
    <x v="1"/>
  </r>
  <r>
    <d v="2026-03-12T00:00:00"/>
    <x v="1"/>
    <d v="1899-12-30T16:55:00"/>
    <x v="5"/>
    <x v="16"/>
    <x v="0"/>
    <s v="Alto Boqueirão"/>
    <x v="11"/>
    <n v="3"/>
    <x v="1"/>
  </r>
  <r>
    <d v="2026-03-12T00:00:00"/>
    <x v="1"/>
    <d v="1899-12-30T17:51:00"/>
    <x v="4"/>
    <x v="9"/>
    <x v="4"/>
    <s v="Alto Boqueirão"/>
    <x v="20"/>
    <n v="3.7"/>
    <x v="1"/>
  </r>
  <r>
    <d v="2026-03-12T00:00:00"/>
    <x v="1"/>
    <d v="1899-12-30T18:15:00"/>
    <x v="7"/>
    <x v="30"/>
    <x v="4"/>
    <s v="Hauer"/>
    <x v="5"/>
    <n v="1.9"/>
    <x v="2"/>
  </r>
  <r>
    <d v="2026-03-12T00:00:00"/>
    <x v="1"/>
    <d v="1899-12-30T17:14:00"/>
    <x v="4"/>
    <x v="8"/>
    <x v="0"/>
    <s v="Portão"/>
    <x v="5"/>
    <n v="1.9"/>
    <x v="2"/>
  </r>
  <r>
    <d v="2026-03-12T00:00:00"/>
    <x v="1"/>
    <d v="1899-12-30T16:33:00"/>
    <x v="5"/>
    <x v="0"/>
    <x v="0"/>
    <s v="Fanny"/>
    <x v="55"/>
    <n v="2.1"/>
    <x v="1"/>
  </r>
  <r>
    <d v="2026-03-12T00:00:00"/>
    <x v="1"/>
    <d v="1899-12-30T16:48:00"/>
    <x v="5"/>
    <x v="0"/>
    <x v="0"/>
    <s v="Vila izabel"/>
    <x v="55"/>
    <n v="2.1"/>
    <x v="1"/>
  </r>
  <r>
    <d v="2026-03-12T00:00:00"/>
    <x v="1"/>
    <d v="1899-12-30T15:37:00"/>
    <x v="8"/>
    <x v="11"/>
    <x v="0"/>
    <s v="Centro"/>
    <x v="6"/>
    <n v="1.8"/>
    <x v="2"/>
  </r>
  <r>
    <d v="2026-03-12T00:00:00"/>
    <x v="1"/>
    <d v="1899-12-30T19:10:00"/>
    <x v="6"/>
    <x v="11"/>
    <x v="0"/>
    <s v="Xaxim"/>
    <x v="6"/>
    <n v="2.1"/>
    <x v="1"/>
  </r>
  <r>
    <d v="2026-03-12T00:00:00"/>
    <x v="1"/>
    <d v="1899-12-30T17:28:00"/>
    <x v="4"/>
    <x v="9"/>
    <x v="4"/>
    <s v="Novo Mundo"/>
    <x v="6"/>
    <n v="0.7"/>
    <x v="2"/>
  </r>
  <r>
    <d v="2026-03-12T00:00:00"/>
    <x v="1"/>
    <d v="1899-12-30T15:21:00"/>
    <x v="8"/>
    <x v="0"/>
    <x v="0"/>
    <s v="Rebouças"/>
    <x v="6"/>
    <n v="3.5"/>
    <x v="1"/>
  </r>
  <r>
    <d v="2026-03-12T00:00:00"/>
    <x v="1"/>
    <d v="1899-12-30T16:21:00"/>
    <x v="5"/>
    <x v="0"/>
    <x v="0"/>
    <s v="Centro"/>
    <x v="6"/>
    <n v="3"/>
    <x v="1"/>
  </r>
  <r>
    <d v="2026-03-12T00:00:00"/>
    <x v="1"/>
    <d v="1899-12-30T19:25:00"/>
    <x v="6"/>
    <x v="19"/>
    <x v="2"/>
    <s v="Água Verde"/>
    <x v="6"/>
    <n v="1.5"/>
    <x v="2"/>
  </r>
  <r>
    <d v="2026-03-12T00:00:00"/>
    <x v="1"/>
    <d v="1899-12-30T15:47:00"/>
    <x v="8"/>
    <x v="11"/>
    <x v="0"/>
    <s v="Centro"/>
    <x v="7"/>
    <n v="0.6"/>
    <x v="2"/>
  </r>
  <r>
    <d v="2026-03-12T00:00:00"/>
    <x v="1"/>
    <d v="1899-12-30T19:53:00"/>
    <x v="6"/>
    <x v="5"/>
    <x v="2"/>
    <s v="Rebouças"/>
    <x v="7"/>
    <n v="2.4"/>
    <x v="1"/>
  </r>
  <r>
    <d v="2026-03-12T00:00:00"/>
    <x v="1"/>
    <d v="1899-12-30T20:02:00"/>
    <x v="9"/>
    <x v="5"/>
    <x v="2"/>
    <s v="Lindóia"/>
    <x v="7"/>
    <n v="2.2999999999999998"/>
    <x v="1"/>
  </r>
  <r>
    <d v="2026-03-12T00:00:00"/>
    <x v="1"/>
    <d v="1899-12-30T15:06:00"/>
    <x v="8"/>
    <x v="12"/>
    <x v="0"/>
    <s v="Guaíra"/>
    <x v="7"/>
    <n v="2.2999999999999998"/>
    <x v="1"/>
  </r>
  <r>
    <d v="2026-03-12T00:00:00"/>
    <x v="1"/>
    <d v="1899-12-30T15:15:00"/>
    <x v="8"/>
    <x v="12"/>
    <x v="0"/>
    <s v="Guaíra"/>
    <x v="7"/>
    <n v="2.1"/>
    <x v="1"/>
  </r>
  <r>
    <d v="2026-03-13T00:00:00"/>
    <x v="1"/>
    <d v="1899-12-30T17:03:00"/>
    <x v="4"/>
    <x v="20"/>
    <x v="4"/>
    <s v="Novo Mundo"/>
    <x v="95"/>
    <n v="8.6"/>
    <x v="0"/>
  </r>
  <r>
    <d v="2026-03-13T00:00:00"/>
    <x v="1"/>
    <d v="1899-12-30T18:35:00"/>
    <x v="7"/>
    <x v="36"/>
    <x v="6"/>
    <s v="Boqueirão"/>
    <x v="96"/>
    <n v="4.5"/>
    <x v="0"/>
  </r>
  <r>
    <d v="2026-03-13T00:00:00"/>
    <x v="1"/>
    <d v="1899-12-30T16:50:00"/>
    <x v="5"/>
    <x v="9"/>
    <x v="4"/>
    <s v="Jardim Botânico"/>
    <x v="69"/>
    <n v="4.2"/>
    <x v="0"/>
  </r>
  <r>
    <d v="2026-03-13T00:00:00"/>
    <x v="1"/>
    <d v="1899-12-30T19:55:00"/>
    <x v="6"/>
    <x v="5"/>
    <x v="2"/>
    <s v="Portão"/>
    <x v="77"/>
    <n v="4.2"/>
    <x v="0"/>
  </r>
  <r>
    <d v="2026-03-13T00:00:00"/>
    <x v="1"/>
    <d v="1899-12-30T18:14:00"/>
    <x v="7"/>
    <x v="0"/>
    <x v="0"/>
    <s v="Rebouças"/>
    <x v="73"/>
    <n v="2.2999999999999998"/>
    <x v="1"/>
  </r>
  <r>
    <d v="2026-03-13T00:00:00"/>
    <x v="1"/>
    <d v="1899-12-30T19:16:00"/>
    <x v="6"/>
    <x v="12"/>
    <x v="0"/>
    <s v="Água Verde"/>
    <x v="31"/>
    <n v="4.4000000000000004"/>
    <x v="0"/>
  </r>
  <r>
    <d v="2026-03-13T00:00:00"/>
    <x v="1"/>
    <d v="1899-12-30T18:29:00"/>
    <x v="7"/>
    <x v="11"/>
    <x v="0"/>
    <s v="Rebouças"/>
    <x v="27"/>
    <n v="1.7"/>
    <x v="2"/>
  </r>
  <r>
    <d v="2026-03-13T00:00:00"/>
    <x v="1"/>
    <d v="1899-12-30T19:33:00"/>
    <x v="6"/>
    <x v="32"/>
    <x v="2"/>
    <s v="Guaíra"/>
    <x v="33"/>
    <n v="2.5"/>
    <x v="1"/>
  </r>
  <r>
    <d v="2026-03-13T00:00:00"/>
    <x v="1"/>
    <d v="1899-12-30T17:49:00"/>
    <x v="4"/>
    <x v="12"/>
    <x v="0"/>
    <s v="Lindóia"/>
    <x v="24"/>
    <n v="1.4"/>
    <x v="2"/>
  </r>
  <r>
    <d v="2026-03-13T00:00:00"/>
    <x v="1"/>
    <d v="1899-12-30T19:03:00"/>
    <x v="6"/>
    <x v="17"/>
    <x v="0"/>
    <s v="São Francisco"/>
    <x v="97"/>
    <n v="2.4"/>
    <x v="1"/>
  </r>
  <r>
    <d v="2026-03-13T00:00:00"/>
    <x v="1"/>
    <d v="1899-12-30T19:40:00"/>
    <x v="6"/>
    <x v="19"/>
    <x v="2"/>
    <s v="Guaíra"/>
    <x v="63"/>
    <n v="1.8"/>
    <x v="2"/>
  </r>
  <r>
    <d v="2026-03-13T00:00:00"/>
    <x v="1"/>
    <d v="1899-12-30T17:37:00"/>
    <x v="4"/>
    <x v="0"/>
    <x v="0"/>
    <s v="Água Verde"/>
    <x v="34"/>
    <n v="1.6"/>
    <x v="2"/>
  </r>
  <r>
    <d v="2026-03-13T00:00:00"/>
    <x v="1"/>
    <d v="1899-12-30T17:57:00"/>
    <x v="4"/>
    <x v="0"/>
    <x v="0"/>
    <s v="Cidade Industrial de Curitiba"/>
    <x v="12"/>
    <n v="2.1"/>
    <x v="1"/>
  </r>
  <r>
    <d v="2026-03-16T00:00:00"/>
    <x v="1"/>
    <d v="1899-12-30T17:38:00"/>
    <x v="4"/>
    <x v="17"/>
    <x v="0"/>
    <s v="Água Verde"/>
    <x v="98"/>
    <n v="7.1"/>
    <x v="0"/>
  </r>
  <r>
    <d v="2026-03-16T00:00:00"/>
    <x v="1"/>
    <d v="1899-12-30T17:07:00"/>
    <x v="4"/>
    <x v="12"/>
    <x v="0"/>
    <s v="Parolin"/>
    <x v="30"/>
    <n v="3.6"/>
    <x v="1"/>
  </r>
  <r>
    <d v="2026-03-16T00:00:00"/>
    <x v="1"/>
    <d v="1899-12-30T16:31:00"/>
    <x v="5"/>
    <x v="17"/>
    <x v="0"/>
    <s v="Novo Mundo"/>
    <x v="59"/>
    <n v="2.8"/>
    <x v="1"/>
  </r>
  <r>
    <d v="2026-03-16T00:00:00"/>
    <x v="1"/>
    <d v="1899-12-30T18:57:00"/>
    <x v="7"/>
    <x v="27"/>
    <x v="0"/>
    <s v="Guaíra"/>
    <x v="14"/>
    <n v="3.3"/>
    <x v="1"/>
  </r>
  <r>
    <d v="2026-03-16T00:00:00"/>
    <x v="1"/>
    <d v="1899-12-30T17:25:00"/>
    <x v="4"/>
    <x v="17"/>
    <x v="0"/>
    <s v="Hauer"/>
    <x v="99"/>
    <n v="2.6"/>
    <x v="1"/>
  </r>
  <r>
    <d v="2026-03-16T00:00:00"/>
    <x v="1"/>
    <d v="1899-12-30T15:14:00"/>
    <x v="8"/>
    <x v="8"/>
    <x v="0"/>
    <s v="Capão Raso"/>
    <x v="33"/>
    <n v="3.6"/>
    <x v="1"/>
  </r>
  <r>
    <d v="2026-03-16T00:00:00"/>
    <x v="1"/>
    <d v="1899-12-30T19:28:00"/>
    <x v="6"/>
    <x v="26"/>
    <x v="7"/>
    <s v="Hauer"/>
    <x v="53"/>
    <n v="2.1"/>
    <x v="1"/>
  </r>
  <r>
    <d v="2026-03-16T00:00:00"/>
    <x v="1"/>
    <d v="1899-12-30T15:38:00"/>
    <x v="8"/>
    <x v="20"/>
    <x v="4"/>
    <s v="Portão"/>
    <x v="20"/>
    <n v="1"/>
    <x v="2"/>
  </r>
  <r>
    <d v="2026-03-16T00:00:00"/>
    <x v="1"/>
    <d v="1899-12-30T17:33:00"/>
    <x v="4"/>
    <x v="0"/>
    <x v="0"/>
    <s v="Guaíra"/>
    <x v="5"/>
    <n v="2.5"/>
    <x v="1"/>
  </r>
  <r>
    <d v="2026-03-16T00:00:00"/>
    <x v="1"/>
    <d v="1899-12-30T16:54:00"/>
    <x v="5"/>
    <x v="8"/>
    <x v="0"/>
    <s v="Fazendinha"/>
    <x v="12"/>
    <n v="1.6"/>
    <x v="2"/>
  </r>
  <r>
    <d v="2026-03-16T00:00:00"/>
    <x v="1"/>
    <d v="1899-12-30T18:42:00"/>
    <x v="7"/>
    <x v="27"/>
    <x v="0"/>
    <s v="Fanny"/>
    <x v="12"/>
    <n v="1.2"/>
    <x v="2"/>
  </r>
  <r>
    <d v="2026-03-16T00:00:00"/>
    <x v="1"/>
    <d v="1899-12-30T16:43:00"/>
    <x v="5"/>
    <x v="0"/>
    <x v="0"/>
    <s v="Fazendinha"/>
    <x v="12"/>
    <n v="1.5"/>
    <x v="2"/>
  </r>
  <r>
    <d v="2026-03-16T00:00:00"/>
    <x v="1"/>
    <d v="1899-12-30T18:16:00"/>
    <x v="7"/>
    <x v="26"/>
    <x v="7"/>
    <s v="Água Verde"/>
    <x v="55"/>
    <n v="2.2999999999999998"/>
    <x v="1"/>
  </r>
  <r>
    <d v="2026-03-16T00:00:00"/>
    <x v="1"/>
    <d v="1899-12-30T16:22:00"/>
    <x v="5"/>
    <x v="8"/>
    <x v="0"/>
    <s v="Fazendinha"/>
    <x v="7"/>
    <n v="2.8"/>
    <x v="1"/>
  </r>
  <r>
    <d v="2026-03-16T00:00:00"/>
    <x v="1"/>
    <d v="1899-12-30T18:31:00"/>
    <x v="7"/>
    <x v="27"/>
    <x v="0"/>
    <s v="Lindóia"/>
    <x v="7"/>
    <n v="1.6"/>
    <x v="2"/>
  </r>
  <r>
    <d v="2026-03-16T00:00:00"/>
    <x v="1"/>
    <d v="1899-12-30T16:18:00"/>
    <x v="5"/>
    <x v="0"/>
    <x v="0"/>
    <s v="Hauer"/>
    <x v="7"/>
    <n v="2.2999999999999998"/>
    <x v="1"/>
  </r>
  <r>
    <d v="2026-03-16T00:00:00"/>
    <x v="1"/>
    <d v="1899-12-30T15:22:00"/>
    <x v="8"/>
    <x v="20"/>
    <x v="4"/>
    <s v="Hauer"/>
    <x v="7"/>
    <n v="2.2000000000000002"/>
    <x v="1"/>
  </r>
  <r>
    <d v="2026-03-16T00:00:00"/>
    <x v="1"/>
    <d v="1899-12-30T15:43:00"/>
    <x v="8"/>
    <x v="20"/>
    <x v="4"/>
    <s v="Parolin"/>
    <x v="7"/>
    <n v="1.6"/>
    <x v="2"/>
  </r>
  <r>
    <d v="2026-03-16T00:00:00"/>
    <x v="1"/>
    <d v="1899-12-30T15:53:00"/>
    <x v="8"/>
    <x v="20"/>
    <x v="4"/>
    <m/>
    <x v="7"/>
    <n v="1.9"/>
    <x v="2"/>
  </r>
  <r>
    <d v="2026-03-17T00:00:00"/>
    <x v="1"/>
    <m/>
    <x v="10"/>
    <x v="37"/>
    <x v="9"/>
    <s v="Guaíra"/>
    <x v="100"/>
    <m/>
    <x v="2"/>
  </r>
  <r>
    <d v="2026-03-18T00:00:00"/>
    <x v="1"/>
    <d v="1899-12-30T17:30:00"/>
    <x v="4"/>
    <x v="10"/>
    <x v="1"/>
    <s v="Xaxim"/>
    <x v="61"/>
    <n v="5.6"/>
    <x v="0"/>
  </r>
  <r>
    <d v="2026-03-18T00:00:00"/>
    <x v="1"/>
    <d v="1899-12-30T18:02:00"/>
    <x v="7"/>
    <x v="20"/>
    <x v="4"/>
    <s v="Boqueirão"/>
    <x v="21"/>
    <n v="4.9000000000000004"/>
    <x v="0"/>
  </r>
  <r>
    <d v="2026-03-18T00:00:00"/>
    <x v="1"/>
    <d v="1899-12-30T19:16:00"/>
    <x v="6"/>
    <x v="28"/>
    <x v="4"/>
    <s v="Xaxim"/>
    <x v="72"/>
    <n v="5"/>
    <x v="0"/>
  </r>
  <r>
    <d v="2026-03-18T00:00:00"/>
    <x v="1"/>
    <d v="1899-12-30T19:07:00"/>
    <x v="6"/>
    <x v="9"/>
    <x v="4"/>
    <s v="Uberaba"/>
    <x v="101"/>
    <n v="3.9"/>
    <x v="1"/>
  </r>
  <r>
    <d v="2026-03-18T00:00:00"/>
    <x v="1"/>
    <d v="1899-12-30T17:09:00"/>
    <x v="4"/>
    <x v="20"/>
    <x v="4"/>
    <s v="Hauer"/>
    <x v="30"/>
    <n v="2.9"/>
    <x v="1"/>
  </r>
  <r>
    <d v="2026-03-18T00:00:00"/>
    <x v="1"/>
    <d v="1899-12-30T16:50:00"/>
    <x v="5"/>
    <x v="20"/>
    <x v="4"/>
    <s v="Xaxim"/>
    <x v="29"/>
    <n v="1.3"/>
    <x v="2"/>
  </r>
  <r>
    <d v="2026-03-18T00:00:00"/>
    <x v="1"/>
    <d v="1899-12-30T19:47:00"/>
    <x v="6"/>
    <x v="9"/>
    <x v="4"/>
    <s v="Lindóia"/>
    <x v="32"/>
    <n v="3.8"/>
    <x v="1"/>
  </r>
  <r>
    <d v="2026-03-18T00:00:00"/>
    <x v="1"/>
    <d v="1899-12-30T17:53:00"/>
    <x v="4"/>
    <x v="12"/>
    <x v="0"/>
    <s v="Hauer"/>
    <x v="52"/>
    <n v="1.9"/>
    <x v="2"/>
  </r>
  <r>
    <d v="2026-03-18T00:00:00"/>
    <x v="1"/>
    <d v="1899-12-30T18:40:00"/>
    <x v="7"/>
    <x v="9"/>
    <x v="4"/>
    <s v="Xaxim"/>
    <x v="59"/>
    <n v="2"/>
    <x v="2"/>
  </r>
  <r>
    <d v="2026-03-18T00:00:00"/>
    <x v="1"/>
    <d v="1899-12-30T18:27:00"/>
    <x v="7"/>
    <x v="28"/>
    <x v="4"/>
    <s v="Hauer"/>
    <x v="12"/>
    <n v="0.7"/>
    <x v="2"/>
  </r>
  <r>
    <d v="2026-03-18T00:00:00"/>
    <x v="1"/>
    <d v="1899-12-30T16:32:00"/>
    <x v="5"/>
    <x v="9"/>
    <x v="4"/>
    <s v="Hauer"/>
    <x v="7"/>
    <n v="2.2000000000000002"/>
    <x v="1"/>
  </r>
  <r>
    <d v="2026-03-18T00:00:00"/>
    <x v="1"/>
    <d v="1899-12-30T17:05:00"/>
    <x v="4"/>
    <x v="9"/>
    <x v="4"/>
    <s v="Hauer"/>
    <x v="7"/>
    <n v="2.2000000000000002"/>
    <x v="1"/>
  </r>
  <r>
    <d v="2026-03-18T00:00:00"/>
    <x v="1"/>
    <d v="1899-12-30T16:04:00"/>
    <x v="5"/>
    <x v="10"/>
    <x v="1"/>
    <s v="Boqueirão"/>
    <x v="7"/>
    <n v="1.3"/>
    <x v="2"/>
  </r>
  <r>
    <d v="2026-03-18T00:00:00"/>
    <x v="1"/>
    <d v="1899-12-30T16:21:00"/>
    <x v="5"/>
    <x v="20"/>
    <x v="4"/>
    <s v="Hauer"/>
    <x v="7"/>
    <n v="1.1000000000000001"/>
    <x v="2"/>
  </r>
  <r>
    <d v="2026-03-18T00:00:00"/>
    <x v="1"/>
    <d v="1899-12-30T16:30:00"/>
    <x v="5"/>
    <x v="20"/>
    <x v="4"/>
    <s v="Hauer"/>
    <x v="7"/>
    <n v="1.2"/>
    <x v="2"/>
  </r>
  <r>
    <d v="2026-03-18T00:00:00"/>
    <x v="1"/>
    <d v="1899-12-30T18:50:00"/>
    <x v="7"/>
    <x v="20"/>
    <x v="4"/>
    <s v="Xaxim"/>
    <x v="7"/>
    <n v="1"/>
    <x v="2"/>
  </r>
  <r>
    <d v="2026-03-18T00:00:00"/>
    <x v="1"/>
    <d v="1899-12-30T18:35:00"/>
    <x v="7"/>
    <x v="28"/>
    <x v="4"/>
    <s v="Boqueirão"/>
    <x v="7"/>
    <n v="0.9"/>
    <x v="2"/>
  </r>
  <r>
    <d v="2026-03-19T00:00:00"/>
    <x v="1"/>
    <d v="1899-12-30T15:56:00"/>
    <x v="8"/>
    <x v="20"/>
    <x v="4"/>
    <s v="Boqueirão"/>
    <x v="36"/>
    <n v="5.0999999999999996"/>
    <x v="0"/>
  </r>
  <r>
    <d v="2026-03-19T00:00:00"/>
    <x v="1"/>
    <d v="1899-12-30T16:10:00"/>
    <x v="5"/>
    <x v="9"/>
    <x v="4"/>
    <s v="Boqueirão"/>
    <x v="33"/>
    <n v="4"/>
    <x v="1"/>
  </r>
  <r>
    <d v="2026-03-19T00:00:00"/>
    <x v="1"/>
    <d v="1899-12-30T16:40:00"/>
    <x v="5"/>
    <x v="20"/>
    <x v="4"/>
    <s v="Alto Boqueirão"/>
    <x v="33"/>
    <n v="3.4"/>
    <x v="1"/>
  </r>
  <r>
    <d v="2026-03-19T00:00:00"/>
    <x v="1"/>
    <d v="1899-12-30T17:07:00"/>
    <x v="4"/>
    <x v="9"/>
    <x v="4"/>
    <s v="Xaxim"/>
    <x v="102"/>
    <n v="2.2000000000000002"/>
    <x v="1"/>
  </r>
  <r>
    <d v="2026-03-19T00:00:00"/>
    <x v="1"/>
    <d v="1899-12-30T19:16:00"/>
    <x v="6"/>
    <x v="31"/>
    <x v="8"/>
    <s v="Boqueirão"/>
    <x v="103"/>
    <n v="2.5"/>
    <x v="1"/>
  </r>
  <r>
    <d v="2026-03-19T00:00:00"/>
    <x v="1"/>
    <d v="1899-12-30T16:48:00"/>
    <x v="5"/>
    <x v="9"/>
    <x v="4"/>
    <s v="Hauer"/>
    <x v="5"/>
    <n v="3.1"/>
    <x v="1"/>
  </r>
  <r>
    <d v="2026-03-19T00:00:00"/>
    <x v="1"/>
    <d v="1899-12-30T17:23:00"/>
    <x v="4"/>
    <x v="9"/>
    <x v="4"/>
    <s v="Boqueirão"/>
    <x v="5"/>
    <n v="2.8"/>
    <x v="1"/>
  </r>
  <r>
    <d v="2026-03-19T00:00:00"/>
    <x v="1"/>
    <d v="1899-12-30T16:14:00"/>
    <x v="5"/>
    <x v="20"/>
    <x v="4"/>
    <s v="Boqueirão"/>
    <x v="12"/>
    <n v="2.6"/>
    <x v="1"/>
  </r>
  <r>
    <d v="2026-03-19T00:00:00"/>
    <x v="1"/>
    <d v="1899-12-30T16:30:00"/>
    <x v="5"/>
    <x v="9"/>
    <x v="4"/>
    <s v="Xaxim"/>
    <x v="15"/>
    <n v="2.2000000000000002"/>
    <x v="1"/>
  </r>
  <r>
    <d v="2026-03-19T00:00:00"/>
    <x v="1"/>
    <d v="1899-12-30T17:42:00"/>
    <x v="4"/>
    <x v="9"/>
    <x v="4"/>
    <s v="Sítio Cercado"/>
    <x v="55"/>
    <n v="2.2000000000000002"/>
    <x v="1"/>
  </r>
  <r>
    <d v="2026-03-19T00:00:00"/>
    <x v="1"/>
    <d v="1899-12-30T17:54:00"/>
    <x v="4"/>
    <x v="28"/>
    <x v="4"/>
    <s v="Sítio Cercado"/>
    <x v="55"/>
    <n v="2.2000000000000002"/>
    <x v="1"/>
  </r>
  <r>
    <d v="2026-03-19T00:00:00"/>
    <x v="1"/>
    <d v="1899-12-30T18:02:00"/>
    <x v="7"/>
    <x v="31"/>
    <x v="8"/>
    <s v="Sítio Cercado"/>
    <x v="6"/>
    <n v="2.5"/>
    <x v="1"/>
  </r>
  <r>
    <d v="2026-03-19T00:00:00"/>
    <x v="1"/>
    <d v="1899-12-30T18:33:00"/>
    <x v="7"/>
    <x v="31"/>
    <x v="8"/>
    <s v="Hauer"/>
    <x v="6"/>
    <n v="2.6"/>
    <x v="1"/>
  </r>
  <r>
    <d v="2026-03-19T00:00:00"/>
    <x v="1"/>
    <d v="1899-12-30T15:25:00"/>
    <x v="8"/>
    <x v="28"/>
    <x v="4"/>
    <s v="Novo Mundo"/>
    <x v="6"/>
    <n v="2.7"/>
    <x v="1"/>
  </r>
  <r>
    <d v="2026-03-19T00:00:00"/>
    <x v="1"/>
    <d v="1899-12-30T15:06:00"/>
    <x v="8"/>
    <x v="8"/>
    <x v="0"/>
    <s v="Hauer"/>
    <x v="7"/>
    <n v="2"/>
    <x v="2"/>
  </r>
  <r>
    <d v="2026-03-19T00:00:00"/>
    <x v="1"/>
    <d v="1899-12-30T15:42:00"/>
    <x v="8"/>
    <x v="20"/>
    <x v="4"/>
    <s v="Novo Mundo"/>
    <x v="7"/>
    <n v="2.6"/>
    <x v="1"/>
  </r>
  <r>
    <d v="2026-03-19T00:00:00"/>
    <x v="1"/>
    <d v="1899-12-30T15:19:00"/>
    <x v="8"/>
    <x v="16"/>
    <x v="0"/>
    <s v="Portão"/>
    <x v="7"/>
    <n v="2.5"/>
    <x v="1"/>
  </r>
  <r>
    <d v="2026-03-19T00:00:00"/>
    <x v="1"/>
    <d v="1899-12-30T15:13:00"/>
    <x v="8"/>
    <x v="21"/>
    <x v="0"/>
    <s v="Sítio Cercado"/>
    <x v="7"/>
    <n v="1.8"/>
    <x v="2"/>
  </r>
  <r>
    <d v="2026-03-19T00:00:00"/>
    <x v="1"/>
    <d v="1899-12-30T18:12:00"/>
    <x v="7"/>
    <x v="31"/>
    <x v="8"/>
    <s v="Sítio Cercado"/>
    <x v="7"/>
    <n v="1.8"/>
    <x v="2"/>
  </r>
  <r>
    <d v="2026-03-19T00:00:00"/>
    <x v="1"/>
    <d v="1899-12-30T18:18:00"/>
    <x v="7"/>
    <x v="31"/>
    <x v="8"/>
    <s v="Sítio Cercado"/>
    <x v="7"/>
    <n v="2"/>
    <x v="2"/>
  </r>
  <r>
    <d v="2026-03-19T00:00:00"/>
    <x v="1"/>
    <d v="1899-12-30T18:52:00"/>
    <x v="7"/>
    <x v="31"/>
    <x v="8"/>
    <s v="Sítio Cercado"/>
    <x v="7"/>
    <n v="1.1000000000000001"/>
    <x v="2"/>
  </r>
  <r>
    <d v="2026-03-19T00:00:00"/>
    <x v="1"/>
    <d v="1899-12-30T19:05:00"/>
    <x v="6"/>
    <x v="31"/>
    <x v="8"/>
    <s v="Hauer"/>
    <x v="7"/>
    <n v="2.5"/>
    <x v="1"/>
  </r>
  <r>
    <d v="2026-03-19T00:00:00"/>
    <x v="1"/>
    <d v="1899-12-30T15:37:00"/>
    <x v="8"/>
    <x v="28"/>
    <x v="4"/>
    <s v="Xaxim"/>
    <x v="7"/>
    <n v="1.4"/>
    <x v="2"/>
  </r>
  <r>
    <d v="2026-03-19T00:00:00"/>
    <x v="1"/>
    <d v="1899-12-30T19:41:00"/>
    <x v="6"/>
    <x v="28"/>
    <x v="4"/>
    <s v="Xaxim"/>
    <x v="7"/>
    <n v="2.5"/>
    <x v="1"/>
  </r>
  <r>
    <d v="2026-03-19T00:00:00"/>
    <x v="1"/>
    <d v="1899-12-30T19:50:00"/>
    <x v="6"/>
    <x v="28"/>
    <x v="4"/>
    <s v="Capão Raso"/>
    <x v="7"/>
    <n v="1"/>
    <x v="2"/>
  </r>
  <r>
    <d v="2026-03-20T00:00:00"/>
    <x v="1"/>
    <d v="1899-12-30T18:04:00"/>
    <x v="7"/>
    <x v="18"/>
    <x v="5"/>
    <s v="Fanny"/>
    <x v="104"/>
    <n v="6.9"/>
    <x v="0"/>
  </r>
  <r>
    <d v="2026-03-20T00:00:00"/>
    <x v="1"/>
    <d v="1899-12-30T16:12:00"/>
    <x v="5"/>
    <x v="11"/>
    <x v="0"/>
    <s v="Fanny"/>
    <x v="105"/>
    <n v="5.0999999999999996"/>
    <x v="0"/>
  </r>
  <r>
    <d v="2026-03-20T00:00:00"/>
    <x v="1"/>
    <d v="1899-12-30T17:05:00"/>
    <x v="4"/>
    <x v="21"/>
    <x v="0"/>
    <s v="Fanny"/>
    <x v="45"/>
    <n v="2.6"/>
    <x v="1"/>
  </r>
  <r>
    <d v="2026-03-20T00:00:00"/>
    <x v="1"/>
    <d v="1899-12-30T15:44:00"/>
    <x v="8"/>
    <x v="12"/>
    <x v="0"/>
    <s v="Capão Raso"/>
    <x v="4"/>
    <n v="2.2999999999999998"/>
    <x v="1"/>
  </r>
  <r>
    <d v="2026-03-20T00:00:00"/>
    <x v="1"/>
    <d v="1899-12-30T17:51:00"/>
    <x v="4"/>
    <x v="21"/>
    <x v="0"/>
    <s v="Guaíra"/>
    <x v="38"/>
    <n v="2.7"/>
    <x v="1"/>
  </r>
  <r>
    <d v="2026-03-20T00:00:00"/>
    <x v="1"/>
    <d v="1899-12-30T17:16:00"/>
    <x v="4"/>
    <x v="21"/>
    <x v="0"/>
    <s v="Parolin"/>
    <x v="74"/>
    <n v="0.8"/>
    <x v="2"/>
  </r>
  <r>
    <d v="2026-03-20T00:00:00"/>
    <x v="1"/>
    <d v="1899-12-30T17:20:00"/>
    <x v="4"/>
    <x v="16"/>
    <x v="0"/>
    <s v="Capão Raso"/>
    <x v="51"/>
    <n v="2.1"/>
    <x v="1"/>
  </r>
  <r>
    <d v="2026-03-20T00:00:00"/>
    <x v="1"/>
    <d v="1899-12-30T18:01:00"/>
    <x v="7"/>
    <x v="21"/>
    <x v="0"/>
    <s v="Lindóia"/>
    <x v="59"/>
    <n v="1"/>
    <x v="2"/>
  </r>
  <r>
    <d v="2026-03-20T00:00:00"/>
    <x v="1"/>
    <d v="1899-12-30T17:20:00"/>
    <x v="4"/>
    <x v="0"/>
    <x v="0"/>
    <s v="Água Verde"/>
    <x v="14"/>
    <n v="2"/>
    <x v="2"/>
  </r>
  <r>
    <d v="2026-03-20T00:00:00"/>
    <x v="1"/>
    <d v="1899-12-30T15:58:00"/>
    <x v="8"/>
    <x v="8"/>
    <x v="0"/>
    <s v="Água Verde"/>
    <x v="27"/>
    <n v="3.7"/>
    <x v="1"/>
  </r>
  <r>
    <d v="2026-03-20T00:00:00"/>
    <x v="1"/>
    <d v="1899-12-30T16:04:00"/>
    <x v="5"/>
    <x v="11"/>
    <x v="0"/>
    <s v="Água Verde"/>
    <x v="24"/>
    <n v="2.5"/>
    <x v="1"/>
  </r>
  <r>
    <d v="2026-03-20T00:00:00"/>
    <x v="1"/>
    <d v="1899-12-30T15:20:00"/>
    <x v="8"/>
    <x v="17"/>
    <x v="0"/>
    <s v="Lindóia"/>
    <x v="5"/>
    <n v="2.2999999999999998"/>
    <x v="1"/>
  </r>
  <r>
    <d v="2026-03-20T00:00:00"/>
    <x v="1"/>
    <d v="1899-12-30T16:56:00"/>
    <x v="5"/>
    <x v="21"/>
    <x v="0"/>
    <s v="Água Verde"/>
    <x v="12"/>
    <n v="0.8"/>
    <x v="2"/>
  </r>
  <r>
    <d v="2026-03-20T00:00:00"/>
    <x v="1"/>
    <d v="1899-12-30T15:09:00"/>
    <x v="8"/>
    <x v="11"/>
    <x v="0"/>
    <s v="Novo Mundo"/>
    <x v="7"/>
    <n v="2.2999999999999998"/>
    <x v="1"/>
  </r>
  <r>
    <d v="2026-03-20T00:00:00"/>
    <x v="1"/>
    <d v="1899-12-30T16:37:00"/>
    <x v="5"/>
    <x v="8"/>
    <x v="0"/>
    <s v="Lindóia"/>
    <x v="7"/>
    <n v="2.4"/>
    <x v="1"/>
  </r>
  <r>
    <d v="2026-03-20T00:00:00"/>
    <x v="1"/>
    <d v="1899-12-30T15:40:00"/>
    <x v="8"/>
    <x v="0"/>
    <x v="0"/>
    <s v="Novo Mundo"/>
    <x v="7"/>
    <n v="0.9"/>
    <x v="2"/>
  </r>
  <r>
    <d v="2026-03-20T00:00:00"/>
    <x v="1"/>
    <d v="1899-12-30T16:48:00"/>
    <x v="5"/>
    <x v="16"/>
    <x v="0"/>
    <s v="Portão"/>
    <x v="7"/>
    <n v="2.2000000000000002"/>
    <x v="1"/>
  </r>
  <r>
    <d v="2026-03-20T00:00:00"/>
    <x v="1"/>
    <d v="1899-12-30T16:42:00"/>
    <x v="5"/>
    <x v="21"/>
    <x v="0"/>
    <s v="Novo Mundo"/>
    <x v="7"/>
    <n v="2.6"/>
    <x v="1"/>
  </r>
  <r>
    <d v="2026-03-20T00:00:00"/>
    <x v="1"/>
    <d v="1899-12-30T17:40:00"/>
    <x v="4"/>
    <x v="21"/>
    <x v="0"/>
    <s v="Guaíra"/>
    <x v="7"/>
    <n v="2.2000000000000002"/>
    <x v="1"/>
  </r>
  <r>
    <d v="2026-03-20T00:00:00"/>
    <x v="1"/>
    <d v="1899-12-30T15:02:00"/>
    <x v="8"/>
    <x v="12"/>
    <x v="0"/>
    <s v="Portão"/>
    <x v="7"/>
    <n v="0.8"/>
    <x v="2"/>
  </r>
  <r>
    <d v="2026-03-20T00:00:00"/>
    <x v="1"/>
    <d v="1899-12-30T15:15:00"/>
    <x v="8"/>
    <x v="17"/>
    <x v="0"/>
    <s v="Água Verde"/>
    <x v="7"/>
    <n v="1.5"/>
    <x v="2"/>
  </r>
  <r>
    <d v="2026-03-23T00:00:00"/>
    <x v="1"/>
    <d v="1899-12-30T17:03:00"/>
    <x v="4"/>
    <x v="17"/>
    <x v="0"/>
    <s v="Água Verde"/>
    <x v="72"/>
    <n v="3.5"/>
    <x v="1"/>
  </r>
  <r>
    <d v="2026-03-23T00:00:00"/>
    <x v="1"/>
    <d v="1899-12-30T18:44:00"/>
    <x v="7"/>
    <x v="16"/>
    <x v="0"/>
    <s v="Parolin"/>
    <x v="106"/>
    <n v="3.6"/>
    <x v="1"/>
  </r>
  <r>
    <d v="2026-03-23T00:00:00"/>
    <x v="1"/>
    <d v="1899-12-30T18:08:00"/>
    <x v="7"/>
    <x v="17"/>
    <x v="0"/>
    <s v="Guaíra"/>
    <x v="107"/>
    <n v="3.1"/>
    <x v="1"/>
  </r>
  <r>
    <d v="2026-03-23T00:00:00"/>
    <x v="1"/>
    <d v="1899-12-30T17:22:00"/>
    <x v="4"/>
    <x v="13"/>
    <x v="0"/>
    <s v="Centro"/>
    <x v="73"/>
    <n v="3.6"/>
    <x v="1"/>
  </r>
  <r>
    <d v="2026-03-23T00:00:00"/>
    <x v="1"/>
    <d v="1899-12-30T18:56:00"/>
    <x v="7"/>
    <x v="11"/>
    <x v="0"/>
    <s v="Novo Mundo"/>
    <x v="52"/>
    <n v="3.7"/>
    <x v="1"/>
  </r>
  <r>
    <d v="2026-03-23T00:00:00"/>
    <x v="1"/>
    <d v="1899-12-30T16:42:00"/>
    <x v="5"/>
    <x v="17"/>
    <x v="0"/>
    <s v="Lindóia"/>
    <x v="79"/>
    <n v="2.8"/>
    <x v="1"/>
  </r>
  <r>
    <d v="2026-03-23T00:00:00"/>
    <x v="1"/>
    <d v="1899-12-30T17:42:00"/>
    <x v="4"/>
    <x v="0"/>
    <x v="0"/>
    <s v="vila Izabel"/>
    <x v="24"/>
    <n v="2.1"/>
    <x v="1"/>
  </r>
  <r>
    <d v="2026-03-23T00:00:00"/>
    <x v="1"/>
    <d v="1899-12-30T17:15:00"/>
    <x v="4"/>
    <x v="11"/>
    <x v="0"/>
    <s v="Água Verde"/>
    <x v="11"/>
    <n v="1.5"/>
    <x v="2"/>
  </r>
  <r>
    <d v="2026-03-23T00:00:00"/>
    <x v="1"/>
    <d v="1899-12-30T19:54:00"/>
    <x v="6"/>
    <x v="15"/>
    <x v="2"/>
    <s v="Capão Raso"/>
    <x v="20"/>
    <n v="2.4"/>
    <x v="1"/>
  </r>
  <r>
    <d v="2026-03-23T00:00:00"/>
    <x v="1"/>
    <d v="1899-12-30T15:57:00"/>
    <x v="8"/>
    <x v="18"/>
    <x v="5"/>
    <s v="Água Verde"/>
    <x v="63"/>
    <n v="3.3"/>
    <x v="1"/>
  </r>
  <r>
    <d v="2026-03-23T00:00:00"/>
    <x v="1"/>
    <d v="1899-12-30T19:46:00"/>
    <x v="6"/>
    <x v="19"/>
    <x v="2"/>
    <s v="Rebouças"/>
    <x v="5"/>
    <n v="2.1"/>
    <x v="1"/>
  </r>
  <r>
    <d v="2026-03-23T00:00:00"/>
    <x v="1"/>
    <d v="1899-12-30T19:08:00"/>
    <x v="6"/>
    <x v="5"/>
    <x v="2"/>
    <s v="Fanny"/>
    <x v="12"/>
    <n v="2.4"/>
    <x v="1"/>
  </r>
  <r>
    <d v="2026-03-23T00:00:00"/>
    <x v="1"/>
    <d v="1899-12-30T16:05:00"/>
    <x v="5"/>
    <x v="21"/>
    <x v="0"/>
    <s v="Portão"/>
    <x v="15"/>
    <n v="2.9"/>
    <x v="1"/>
  </r>
  <r>
    <d v="2026-03-23T00:00:00"/>
    <x v="1"/>
    <d v="1899-12-30T16:55:00"/>
    <x v="5"/>
    <x v="21"/>
    <x v="0"/>
    <s v="Fanny"/>
    <x v="15"/>
    <n v="1.9"/>
    <x v="2"/>
  </r>
  <r>
    <d v="2026-03-23T00:00:00"/>
    <x v="1"/>
    <d v="1899-12-30T17:52:00"/>
    <x v="4"/>
    <x v="16"/>
    <x v="0"/>
    <s v="Portão"/>
    <x v="6"/>
    <n v="1.6"/>
    <x v="2"/>
  </r>
  <r>
    <d v="2026-03-23T00:00:00"/>
    <x v="1"/>
    <d v="1899-12-30T17:59:00"/>
    <x v="4"/>
    <x v="16"/>
    <x v="0"/>
    <s v="Rebouças"/>
    <x v="6"/>
    <n v="1.8"/>
    <x v="2"/>
  </r>
  <r>
    <d v="2026-03-23T00:00:00"/>
    <x v="1"/>
    <d v="1899-12-30T19:37:00"/>
    <x v="6"/>
    <x v="5"/>
    <x v="2"/>
    <s v="Portão"/>
    <x v="7"/>
    <n v="0.8"/>
    <x v="2"/>
  </r>
  <r>
    <d v="2026-03-23T00:00:00"/>
    <x v="1"/>
    <d v="1899-12-30T16:33:00"/>
    <x v="5"/>
    <x v="8"/>
    <x v="0"/>
    <s v="Lindóia"/>
    <x v="7"/>
    <n v="2.5"/>
    <x v="1"/>
  </r>
  <r>
    <d v="2026-03-23T00:00:00"/>
    <x v="1"/>
    <d v="1899-12-30T18:30:00"/>
    <x v="7"/>
    <x v="0"/>
    <x v="0"/>
    <s v="Portão"/>
    <x v="7"/>
    <n v="1.1000000000000001"/>
    <x v="2"/>
  </r>
  <r>
    <d v="2026-03-23T00:00:00"/>
    <x v="1"/>
    <d v="1899-12-30T15:33:00"/>
    <x v="8"/>
    <x v="16"/>
    <x v="0"/>
    <s v="Fanny"/>
    <x v="7"/>
    <n v="2.6"/>
    <x v="1"/>
  </r>
  <r>
    <d v="2026-03-23T00:00:00"/>
    <x v="1"/>
    <d v="1899-12-30T16:23:00"/>
    <x v="5"/>
    <x v="12"/>
    <x v="0"/>
    <s v="Portão"/>
    <x v="7"/>
    <n v="1.4"/>
    <x v="2"/>
  </r>
  <r>
    <d v="2026-03-23T00:00:00"/>
    <x v="1"/>
    <d v="1899-12-30T15:42:00"/>
    <x v="8"/>
    <x v="17"/>
    <x v="0"/>
    <s v="Novo Mundo"/>
    <x v="7"/>
    <n v="1.4"/>
    <x v="2"/>
  </r>
  <r>
    <d v="2026-03-23T00:00:00"/>
    <x v="1"/>
    <d v="1899-12-30T15:49:00"/>
    <x v="8"/>
    <x v="17"/>
    <x v="0"/>
    <s v="Rebouças"/>
    <x v="7"/>
    <n v="3.1"/>
    <x v="1"/>
  </r>
  <r>
    <d v="2026-03-23T00:00:00"/>
    <x v="1"/>
    <d v="1899-12-30T19:28:00"/>
    <x v="6"/>
    <x v="19"/>
    <x v="2"/>
    <s v="Xaxim"/>
    <x v="7"/>
    <n v="2.2999999999999998"/>
    <x v="1"/>
  </r>
  <r>
    <d v="2026-03-24T00:00:00"/>
    <x v="1"/>
    <d v="1899-12-30T18:33:00"/>
    <x v="7"/>
    <x v="21"/>
    <x v="0"/>
    <s v="Novo Mundo"/>
    <x v="91"/>
    <n v="5.5"/>
    <x v="0"/>
  </r>
  <r>
    <d v="2026-03-24T00:00:00"/>
    <x v="1"/>
    <d v="1899-12-30T17:35:00"/>
    <x v="4"/>
    <x v="8"/>
    <x v="0"/>
    <s v="Portão"/>
    <x v="72"/>
    <n v="3.3"/>
    <x v="1"/>
  </r>
  <r>
    <d v="2026-03-24T00:00:00"/>
    <x v="1"/>
    <d v="1899-12-30T18:09:00"/>
    <x v="7"/>
    <x v="19"/>
    <x v="2"/>
    <s v="Rebouças"/>
    <x v="64"/>
    <n v="2.7"/>
    <x v="1"/>
  </r>
  <r>
    <d v="2026-03-24T00:00:00"/>
    <x v="1"/>
    <d v="1899-12-30T16:17:00"/>
    <x v="5"/>
    <x v="5"/>
    <x v="2"/>
    <s v="Água Verde"/>
    <x v="38"/>
    <n v="2.5"/>
    <x v="1"/>
  </r>
  <r>
    <d v="2026-03-24T00:00:00"/>
    <x v="1"/>
    <d v="1899-12-30T16:22:00"/>
    <x v="5"/>
    <x v="5"/>
    <x v="2"/>
    <s v="Parolin"/>
    <x v="47"/>
    <n v="2.8"/>
    <x v="1"/>
  </r>
  <r>
    <d v="2026-03-24T00:00:00"/>
    <x v="1"/>
    <d v="1899-12-30T17:04:00"/>
    <x v="4"/>
    <x v="19"/>
    <x v="2"/>
    <s v="Água Verde"/>
    <x v="59"/>
    <n v="1.4"/>
    <x v="2"/>
  </r>
  <r>
    <d v="2026-03-24T00:00:00"/>
    <x v="1"/>
    <d v="1899-12-30T16:36:00"/>
    <x v="5"/>
    <x v="11"/>
    <x v="0"/>
    <s v="Sergipe"/>
    <x v="27"/>
    <n v="1.8"/>
    <x v="2"/>
  </r>
  <r>
    <d v="2026-03-24T00:00:00"/>
    <x v="1"/>
    <d v="1899-12-30T17:21:00"/>
    <x v="4"/>
    <x v="12"/>
    <x v="0"/>
    <s v="Centro"/>
    <x v="27"/>
    <n v="1.3"/>
    <x v="2"/>
  </r>
  <r>
    <d v="2026-03-24T00:00:00"/>
    <x v="1"/>
    <d v="1899-12-30T16:00:00"/>
    <x v="5"/>
    <x v="5"/>
    <x v="2"/>
    <s v="São Francisco"/>
    <x v="20"/>
    <n v="1.8"/>
    <x v="2"/>
  </r>
  <r>
    <d v="2026-03-24T00:00:00"/>
    <x v="1"/>
    <d v="1899-12-30T15:48:00"/>
    <x v="8"/>
    <x v="38"/>
    <x v="2"/>
    <s v="Lindóia"/>
    <x v="34"/>
    <n v="2.9"/>
    <x v="1"/>
  </r>
  <r>
    <d v="2026-03-24T00:00:00"/>
    <x v="1"/>
    <d v="1899-12-30T17:25:00"/>
    <x v="4"/>
    <x v="8"/>
    <x v="0"/>
    <s v="Capão Raso"/>
    <x v="6"/>
    <n v="1.8"/>
    <x v="2"/>
  </r>
  <r>
    <d v="2026-03-24T00:00:00"/>
    <x v="1"/>
    <d v="1899-12-30T17:50:00"/>
    <x v="4"/>
    <x v="21"/>
    <x v="0"/>
    <s v="Novo Mundo"/>
    <x v="6"/>
    <n v="1.8"/>
    <x v="2"/>
  </r>
  <r>
    <d v="2026-03-24T00:00:00"/>
    <x v="1"/>
    <d v="1899-12-30T18:28:00"/>
    <x v="7"/>
    <x v="21"/>
    <x v="0"/>
    <s v="Rebouças"/>
    <x v="6"/>
    <n v="0.9"/>
    <x v="2"/>
  </r>
  <r>
    <d v="2026-03-24T00:00:00"/>
    <x v="1"/>
    <d v="1899-12-30T16:48:00"/>
    <x v="5"/>
    <x v="11"/>
    <x v="0"/>
    <s v="São Francisco"/>
    <x v="7"/>
    <n v="1.8"/>
    <x v="2"/>
  </r>
  <r>
    <d v="2026-03-24T00:00:00"/>
    <x v="1"/>
    <d v="1899-12-30T15:42:00"/>
    <x v="8"/>
    <x v="15"/>
    <x v="2"/>
    <s v="Batel"/>
    <x v="7"/>
    <n v="1.4"/>
    <x v="2"/>
  </r>
  <r>
    <d v="2026-03-24T00:00:00"/>
    <x v="1"/>
    <d v="1899-12-30T15:28:00"/>
    <x v="8"/>
    <x v="38"/>
    <x v="2"/>
    <s v="Centro"/>
    <x v="7"/>
    <n v="0.9"/>
    <x v="2"/>
  </r>
  <r>
    <d v="2026-03-24T00:00:00"/>
    <x v="1"/>
    <d v="1899-12-30T15:13:00"/>
    <x v="8"/>
    <x v="5"/>
    <x v="2"/>
    <s v="Novo Mundo"/>
    <x v="7"/>
    <n v="1.3"/>
    <x v="2"/>
  </r>
  <r>
    <d v="2026-03-24T00:00:00"/>
    <x v="1"/>
    <d v="1899-12-30T19:01:00"/>
    <x v="6"/>
    <x v="21"/>
    <x v="0"/>
    <s v="Xaxim"/>
    <x v="7"/>
    <n v="1.1000000000000001"/>
    <x v="2"/>
  </r>
  <r>
    <d v="2026-03-25T00:00:00"/>
    <x v="1"/>
    <d v="1899-12-30T17:00:00"/>
    <x v="4"/>
    <x v="9"/>
    <x v="4"/>
    <s v="Xaxim"/>
    <x v="64"/>
    <n v="5.4"/>
    <x v="0"/>
  </r>
  <r>
    <d v="2026-03-25T00:00:00"/>
    <x v="1"/>
    <d v="1899-12-30T18:07:00"/>
    <x v="7"/>
    <x v="28"/>
    <x v="4"/>
    <s v="Xaxim"/>
    <x v="74"/>
    <n v="3"/>
    <x v="1"/>
  </r>
  <r>
    <d v="2026-03-25T00:00:00"/>
    <x v="1"/>
    <d v="1899-12-30T17:56:00"/>
    <x v="4"/>
    <x v="31"/>
    <x v="8"/>
    <s v="Sítio Cercado"/>
    <x v="29"/>
    <n v="3.7"/>
    <x v="1"/>
  </r>
  <r>
    <d v="2026-03-25T00:00:00"/>
    <x v="1"/>
    <d v="1899-12-30T17:44:00"/>
    <x v="4"/>
    <x v="30"/>
    <x v="4"/>
    <s v="Sítio Cercado"/>
    <x v="33"/>
    <n v="3.3"/>
    <x v="1"/>
  </r>
  <r>
    <d v="2026-03-25T00:00:00"/>
    <x v="1"/>
    <d v="1899-12-30T17:12:00"/>
    <x v="4"/>
    <x v="30"/>
    <x v="4"/>
    <s v="Boqueirão"/>
    <x v="20"/>
    <n v="2.8"/>
    <x v="1"/>
  </r>
  <r>
    <d v="2026-03-25T00:00:00"/>
    <x v="1"/>
    <d v="1899-12-30T19:37:00"/>
    <x v="6"/>
    <x v="9"/>
    <x v="4"/>
    <s v="Boqueirão"/>
    <x v="43"/>
    <n v="1.5"/>
    <x v="2"/>
  </r>
  <r>
    <d v="2026-03-25T00:00:00"/>
    <x v="1"/>
    <d v="1899-12-30T19:00:00"/>
    <x v="6"/>
    <x v="9"/>
    <x v="4"/>
    <s v="Novo Mundo"/>
    <x v="12"/>
    <n v="1.3"/>
    <x v="2"/>
  </r>
  <r>
    <d v="2026-03-25T00:00:00"/>
    <x v="1"/>
    <d v="1899-12-30T15:37:00"/>
    <x v="8"/>
    <x v="8"/>
    <x v="0"/>
    <s v="Boqueirão"/>
    <x v="12"/>
    <n v="2.2999999999999998"/>
    <x v="1"/>
  </r>
  <r>
    <d v="2026-03-25T00:00:00"/>
    <x v="1"/>
    <d v="1899-12-30T18:52:00"/>
    <x v="7"/>
    <x v="9"/>
    <x v="4"/>
    <s v="Xaxim"/>
    <x v="6"/>
    <n v="1.1000000000000001"/>
    <x v="2"/>
  </r>
  <r>
    <d v="2026-03-25T00:00:00"/>
    <x v="1"/>
    <d v="1899-12-30T18:43:00"/>
    <x v="7"/>
    <x v="28"/>
    <x v="4"/>
    <s v="Xaxim"/>
    <x v="6"/>
    <n v="1"/>
    <x v="2"/>
  </r>
  <r>
    <d v="2026-03-25T00:00:00"/>
    <x v="1"/>
    <d v="1899-12-30T19:53:00"/>
    <x v="6"/>
    <x v="28"/>
    <x v="4"/>
    <s v="Alto Boqueirão"/>
    <x v="6"/>
    <n v="1.6"/>
    <x v="2"/>
  </r>
  <r>
    <d v="2026-03-25T00:00:00"/>
    <x v="1"/>
    <d v="1899-12-30T17:33:00"/>
    <x v="4"/>
    <x v="30"/>
    <x v="4"/>
    <s v="Boqueirão"/>
    <x v="7"/>
    <n v="2.2000000000000002"/>
    <x v="1"/>
  </r>
  <r>
    <d v="2026-03-25T00:00:00"/>
    <x v="1"/>
    <d v="1899-12-30T16:42:00"/>
    <x v="5"/>
    <x v="9"/>
    <x v="4"/>
    <s v="Hauer"/>
    <x v="7"/>
    <n v="1.3"/>
    <x v="2"/>
  </r>
  <r>
    <d v="2026-03-25T00:00:00"/>
    <x v="1"/>
    <d v="1899-12-30T16:48:00"/>
    <x v="5"/>
    <x v="9"/>
    <x v="4"/>
    <s v="Novo Mundo"/>
    <x v="7"/>
    <n v="1.2"/>
    <x v="2"/>
  </r>
  <r>
    <d v="2026-03-25T00:00:00"/>
    <x v="1"/>
    <d v="1899-12-30T16:05:00"/>
    <x v="5"/>
    <x v="8"/>
    <x v="0"/>
    <s v="Boqueirão"/>
    <x v="7"/>
    <n v="1.3"/>
    <x v="2"/>
  </r>
  <r>
    <d v="2026-03-25T00:00:00"/>
    <x v="1"/>
    <d v="1899-12-30T16:37:00"/>
    <x v="5"/>
    <x v="20"/>
    <x v="4"/>
    <s v="Fanny"/>
    <x v="7"/>
    <n v="1.1000000000000001"/>
    <x v="2"/>
  </r>
  <r>
    <d v="2026-03-25T00:00:00"/>
    <x v="1"/>
    <d v="1899-12-30T16:09:00"/>
    <x v="5"/>
    <x v="16"/>
    <x v="0"/>
    <s v="Lindóia"/>
    <x v="7"/>
    <n v="1.7"/>
    <x v="2"/>
  </r>
  <r>
    <d v="2026-03-25T00:00:00"/>
    <x v="1"/>
    <d v="1899-12-30T15:54:00"/>
    <x v="8"/>
    <x v="21"/>
    <x v="0"/>
    <s v="Xaxim"/>
    <x v="7"/>
    <n v="2.1"/>
    <x v="1"/>
  </r>
  <r>
    <d v="2026-03-25T00:00:00"/>
    <x v="1"/>
    <d v="1899-12-30T18:40:00"/>
    <x v="7"/>
    <x v="28"/>
    <x v="4"/>
    <s v="Lindóia"/>
    <x v="7"/>
    <n v="1.5"/>
    <x v="2"/>
  </r>
  <r>
    <d v="2026-03-26T00:00:00"/>
    <x v="1"/>
    <d v="1899-12-30T19:32:00"/>
    <x v="6"/>
    <x v="33"/>
    <x v="1"/>
    <s v="Guaíra"/>
    <x v="108"/>
    <n v="6.4"/>
    <x v="0"/>
  </r>
  <r>
    <d v="2026-03-26T00:00:00"/>
    <x v="1"/>
    <d v="1899-12-30T18:03:00"/>
    <x v="7"/>
    <x v="11"/>
    <x v="0"/>
    <s v="Guaíra"/>
    <x v="106"/>
    <n v="2.2999999999999998"/>
    <x v="1"/>
  </r>
  <r>
    <d v="2026-03-26T00:00:00"/>
    <x v="1"/>
    <d v="1899-12-30T17:20:00"/>
    <x v="4"/>
    <x v="11"/>
    <x v="0"/>
    <s v="Água Verde"/>
    <x v="101"/>
    <n v="3"/>
    <x v="1"/>
  </r>
  <r>
    <d v="2026-03-26T00:00:00"/>
    <x v="1"/>
    <d v="1899-12-30T17:41:00"/>
    <x v="4"/>
    <x v="11"/>
    <x v="0"/>
    <s v="Água Verde"/>
    <x v="45"/>
    <n v="1.2"/>
    <x v="2"/>
  </r>
  <r>
    <d v="2026-03-26T00:00:00"/>
    <x v="1"/>
    <d v="1899-12-30T17:54:00"/>
    <x v="4"/>
    <x v="0"/>
    <x v="0"/>
    <s v="Água Verde"/>
    <x v="45"/>
    <n v="2.2999999999999998"/>
    <x v="1"/>
  </r>
  <r>
    <d v="2026-03-26T00:00:00"/>
    <x v="1"/>
    <d v="1899-12-30T17:44:00"/>
    <x v="4"/>
    <x v="0"/>
    <x v="0"/>
    <s v="Xaxim"/>
    <x v="51"/>
    <n v="2"/>
    <x v="2"/>
  </r>
  <r>
    <d v="2026-03-26T00:00:00"/>
    <x v="1"/>
    <d v="1899-12-30T18:24:00"/>
    <x v="7"/>
    <x v="21"/>
    <x v="0"/>
    <s v="Água Verde"/>
    <x v="46"/>
    <n v="3.5"/>
    <x v="1"/>
  </r>
  <r>
    <d v="2026-03-26T00:00:00"/>
    <x v="1"/>
    <d v="1899-12-30T17:33:00"/>
    <x v="4"/>
    <x v="0"/>
    <x v="0"/>
    <s v="Portão"/>
    <x v="47"/>
    <n v="2"/>
    <x v="2"/>
  </r>
  <r>
    <d v="2026-03-26T00:00:00"/>
    <x v="1"/>
    <d v="1899-12-30T18:12:00"/>
    <x v="7"/>
    <x v="11"/>
    <x v="0"/>
    <s v="Novo Mundo"/>
    <x v="65"/>
    <n v="2.1"/>
    <x v="1"/>
  </r>
  <r>
    <d v="2026-03-26T00:00:00"/>
    <x v="1"/>
    <d v="1899-12-30T17:06:00"/>
    <x v="4"/>
    <x v="17"/>
    <x v="0"/>
    <s v="Uberaba"/>
    <x v="11"/>
    <n v="1.8"/>
    <x v="2"/>
  </r>
  <r>
    <d v="2026-03-26T00:00:00"/>
    <x v="1"/>
    <d v="1899-12-30T19:05:00"/>
    <x v="6"/>
    <x v="9"/>
    <x v="4"/>
    <s v="Novo Mundo"/>
    <x v="5"/>
    <n v="1.4"/>
    <x v="2"/>
  </r>
  <r>
    <d v="2026-03-26T00:00:00"/>
    <x v="1"/>
    <d v="1899-12-30T16:34:00"/>
    <x v="5"/>
    <x v="17"/>
    <x v="0"/>
    <s v="Portão"/>
    <x v="5"/>
    <n v="2.5"/>
    <x v="1"/>
  </r>
  <r>
    <d v="2026-03-26T00:00:00"/>
    <x v="1"/>
    <d v="1899-12-30T16:51:00"/>
    <x v="5"/>
    <x v="21"/>
    <x v="0"/>
    <s v="Boqueirão"/>
    <x v="12"/>
    <n v="1.2"/>
    <x v="2"/>
  </r>
  <r>
    <d v="2026-03-26T00:00:00"/>
    <x v="1"/>
    <d v="1899-12-30T18:54:00"/>
    <x v="7"/>
    <x v="9"/>
    <x v="4"/>
    <s v="Novo Mundo"/>
    <x v="6"/>
    <n v="0.8"/>
    <x v="2"/>
  </r>
  <r>
    <d v="2026-03-26T00:00:00"/>
    <x v="1"/>
    <d v="1899-12-30T19:55:00"/>
    <x v="6"/>
    <x v="16"/>
    <x v="0"/>
    <s v="Capão Raso"/>
    <x v="6"/>
    <n v="1.4"/>
    <x v="2"/>
  </r>
  <r>
    <d v="2026-03-26T00:00:00"/>
    <x v="1"/>
    <d v="1899-12-30T19:58:00"/>
    <x v="6"/>
    <x v="21"/>
    <x v="0"/>
    <s v="Portão"/>
    <x v="6"/>
    <n v="1.1000000000000001"/>
    <x v="2"/>
  </r>
  <r>
    <d v="2026-03-26T00:00:00"/>
    <x v="1"/>
    <d v="1899-12-30T16:28:00"/>
    <x v="5"/>
    <x v="0"/>
    <x v="0"/>
    <s v="Uberaba"/>
    <x v="6"/>
    <n v="2"/>
    <x v="2"/>
  </r>
  <r>
    <d v="2026-03-26T00:00:00"/>
    <x v="1"/>
    <d v="1899-12-30T19:23:00"/>
    <x v="6"/>
    <x v="1"/>
    <x v="1"/>
    <s v="Boqueirão"/>
    <x v="6"/>
    <n v="1.5"/>
    <x v="2"/>
  </r>
  <r>
    <d v="2026-03-26T00:00:00"/>
    <x v="1"/>
    <d v="1899-12-30T18:38:00"/>
    <x v="7"/>
    <x v="2"/>
    <x v="2"/>
    <s v="Guaíra"/>
    <x v="7"/>
    <n v="1.7"/>
    <x v="2"/>
  </r>
  <r>
    <d v="2026-03-26T00:00:00"/>
    <x v="1"/>
    <d v="1899-12-30T16:08:00"/>
    <x v="5"/>
    <x v="3"/>
    <x v="3"/>
    <s v="Uberaba"/>
    <x v="7"/>
    <n v="0.8"/>
    <x v="2"/>
  </r>
  <r>
    <d v="2026-03-26T00:00:00"/>
    <x v="1"/>
    <d v="1899-12-30T19:09:00"/>
    <x v="6"/>
    <x v="4"/>
    <x v="2"/>
    <s v="Uberaba"/>
    <x v="7"/>
    <n v="1.8"/>
    <x v="2"/>
  </r>
  <r>
    <d v="2026-03-26T00:00:00"/>
    <x v="1"/>
    <d v="1899-12-30T19:13:00"/>
    <x v="6"/>
    <x v="1"/>
    <x v="1"/>
    <s v="Parolin"/>
    <x v="7"/>
    <n v="2.2000000000000002"/>
    <x v="1"/>
  </r>
  <r>
    <d v="2026-03-27T00:00:00"/>
    <x v="1"/>
    <d v="1899-12-30T17:45:00"/>
    <x v="4"/>
    <x v="5"/>
    <x v="2"/>
    <s v="Portão"/>
    <x v="109"/>
    <n v="4"/>
    <x v="1"/>
  </r>
  <r>
    <d v="2026-03-27T00:00:00"/>
    <x v="1"/>
    <d v="1899-12-30T17:09:00"/>
    <x v="4"/>
    <x v="6"/>
    <x v="2"/>
    <s v="Guaíra"/>
    <x v="110"/>
    <n v="2.9"/>
    <x v="1"/>
  </r>
  <r>
    <d v="2026-03-27T00:00:00"/>
    <x v="1"/>
    <d v="1899-12-30T16:50:00"/>
    <x v="5"/>
    <x v="7"/>
    <x v="2"/>
    <s v="Hauer"/>
    <x v="101"/>
    <n v="2.5"/>
    <x v="1"/>
  </r>
  <r>
    <d v="2026-03-27T00:00:00"/>
    <x v="1"/>
    <d v="1899-12-30T19:18:00"/>
    <x v="6"/>
    <x v="8"/>
    <x v="0"/>
    <s v="Guaíra"/>
    <x v="45"/>
    <n v="4.5"/>
    <x v="0"/>
  </r>
  <r>
    <d v="2026-03-27T00:00:00"/>
    <x v="1"/>
    <d v="1899-12-30T18:07:00"/>
    <x v="7"/>
    <x v="9"/>
    <x v="4"/>
    <s v="Novo Mundo"/>
    <x v="4"/>
    <n v="3.3"/>
    <x v="1"/>
  </r>
  <r>
    <d v="2026-03-27T00:00:00"/>
    <x v="1"/>
    <d v="1899-12-30T19:07:00"/>
    <x v="6"/>
    <x v="5"/>
    <x v="2"/>
    <s v="Capão Raso"/>
    <x v="31"/>
    <n v="2"/>
    <x v="2"/>
  </r>
  <r>
    <d v="2026-03-27T00:00:00"/>
    <x v="1"/>
    <d v="1899-12-30T18:49:00"/>
    <x v="7"/>
    <x v="8"/>
    <x v="0"/>
    <s v="Boqueirão"/>
    <x v="38"/>
    <n v="1.8"/>
    <x v="2"/>
  </r>
  <r>
    <d v="2026-03-27T00:00:00"/>
    <x v="1"/>
    <d v="1899-12-30T19:30:00"/>
    <x v="6"/>
    <x v="10"/>
    <x v="1"/>
    <s v="vila Izabel"/>
    <x v="51"/>
    <n v="3.4"/>
    <x v="1"/>
  </r>
  <r>
    <d v="2026-03-27T00:00:00"/>
    <x v="1"/>
    <d v="1899-12-30T17:39:00"/>
    <x v="4"/>
    <x v="11"/>
    <x v="0"/>
    <s v="Guaíra"/>
    <x v="52"/>
    <n v="1.2"/>
    <x v="2"/>
  </r>
  <r>
    <d v="2026-03-27T00:00:00"/>
    <x v="1"/>
    <d v="1899-12-30T17:00:00"/>
    <x v="4"/>
    <x v="12"/>
    <x v="0"/>
    <s v="Hauer"/>
    <x v="52"/>
    <n v="2"/>
    <x v="2"/>
  </r>
  <r>
    <d v="2026-03-27T00:00:00"/>
    <x v="1"/>
    <d v="1899-12-30T16:30:00"/>
    <x v="5"/>
    <x v="12"/>
    <x v="0"/>
    <s v="Guaíra"/>
    <x v="14"/>
    <n v="1.6"/>
    <x v="2"/>
  </r>
  <r>
    <d v="2026-03-27T00:00:00"/>
    <x v="1"/>
    <d v="1899-12-30T15:57:00"/>
    <x v="8"/>
    <x v="13"/>
    <x v="0"/>
    <s v="Portão"/>
    <x v="79"/>
    <n v="1.6"/>
    <x v="2"/>
  </r>
  <r>
    <d v="2026-03-27T00:00:00"/>
    <x v="1"/>
    <d v="1899-12-30T18:23:00"/>
    <x v="7"/>
    <x v="13"/>
    <x v="0"/>
    <s v="Água Verde"/>
    <x v="27"/>
    <n v="3.1"/>
    <x v="1"/>
  </r>
  <r>
    <d v="2026-03-27T00:00:00"/>
    <x v="1"/>
    <d v="1899-12-30T15:37:00"/>
    <x v="8"/>
    <x v="5"/>
    <x v="2"/>
    <s v="Hauer"/>
    <x v="111"/>
    <n v="1.7"/>
    <x v="2"/>
  </r>
  <r>
    <d v="2026-03-27T00:00:00"/>
    <x v="1"/>
    <d v="1899-12-30T16:34:00"/>
    <x v="5"/>
    <x v="14"/>
    <x v="0"/>
    <s v="Portão"/>
    <x v="34"/>
    <n v="1.9"/>
    <x v="2"/>
  </r>
  <r>
    <d v="2026-03-27T00:00:00"/>
    <x v="1"/>
    <d v="1899-12-30T17:24:00"/>
    <x v="4"/>
    <x v="11"/>
    <x v="0"/>
    <s v="Fanny"/>
    <x v="34"/>
    <n v="1.8"/>
    <x v="2"/>
  </r>
  <r>
    <d v="2026-03-27T00:00:00"/>
    <x v="1"/>
    <d v="1899-12-30T16:41:00"/>
    <x v="5"/>
    <x v="15"/>
    <x v="2"/>
    <s v="Novo Mundo"/>
    <x v="15"/>
    <n v="2.4"/>
    <x v="1"/>
  </r>
  <r>
    <d v="2026-03-27T00:00:00"/>
    <x v="1"/>
    <d v="1899-12-30T18:38:00"/>
    <x v="7"/>
    <x v="5"/>
    <x v="2"/>
    <s v="Lindóia"/>
    <x v="15"/>
    <n v="2.2000000000000002"/>
    <x v="1"/>
  </r>
  <r>
    <d v="2026-03-27T00:00:00"/>
    <x v="1"/>
    <d v="1899-12-30T15:49:00"/>
    <x v="8"/>
    <x v="9"/>
    <x v="4"/>
    <s v="Guaíra"/>
    <x v="55"/>
    <n v="1.2"/>
    <x v="2"/>
  </r>
  <r>
    <d v="2026-03-27T00:00:00"/>
    <x v="1"/>
    <d v="1899-12-30T15:24:00"/>
    <x v="8"/>
    <x v="13"/>
    <x v="0"/>
    <s v="Hauer"/>
    <x v="6"/>
    <n v="1.8"/>
    <x v="2"/>
  </r>
  <r>
    <d v="2026-03-27T00:00:00"/>
    <x v="1"/>
    <d v="1899-12-30T20:17:00"/>
    <x v="9"/>
    <x v="16"/>
    <x v="0"/>
    <s v="Parolin"/>
    <x v="6"/>
    <n v="3.7"/>
    <x v="1"/>
  </r>
  <r>
    <d v="2026-03-27T00:00:00"/>
    <x v="1"/>
    <d v="1899-12-30T16:21:00"/>
    <x v="5"/>
    <x v="17"/>
    <x v="0"/>
    <s v="Água Verde"/>
    <x v="6"/>
    <n v="1"/>
    <x v="2"/>
  </r>
  <r>
    <d v="2026-03-27T00:00:00"/>
    <x v="1"/>
    <d v="1899-12-30T15:15:00"/>
    <x v="8"/>
    <x v="13"/>
    <x v="0"/>
    <s v="Boqueirão"/>
    <x v="7"/>
    <n v="1"/>
    <x v="2"/>
  </r>
  <r>
    <d v="2026-03-27T00:00:00"/>
    <x v="1"/>
    <d v="1899-12-30T19:54:00"/>
    <x v="6"/>
    <x v="11"/>
    <x v="0"/>
    <s v="Alto Boqueirão"/>
    <x v="7"/>
    <n v="2.1"/>
    <x v="1"/>
  </r>
  <r>
    <d v="2026-03-27T00:00:00"/>
    <x v="1"/>
    <d v="1899-12-30T19:44:00"/>
    <x v="6"/>
    <x v="16"/>
    <x v="0"/>
    <s v="Parolin"/>
    <x v="7"/>
    <n v="3.2"/>
    <x v="1"/>
  </r>
  <r>
    <d v="2026-03-27T00:00:00"/>
    <x v="1"/>
    <d v="1899-12-30T16:00:00"/>
    <x v="5"/>
    <x v="11"/>
    <x v="0"/>
    <s v="Rebouças"/>
    <x v="7"/>
    <n v="1.4"/>
    <x v="2"/>
  </r>
  <r>
    <d v="2026-03-27T00:00:00"/>
    <x v="1"/>
    <d v="1899-12-30T15:05:00"/>
    <x v="8"/>
    <x v="11"/>
    <x v="0"/>
    <m/>
    <x v="7"/>
    <n v="1.5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ela dinâmica2" cacheId="1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 chartFormat="9" rowHeaderCaption="Faixa_distancia">
  <location ref="A1:D5" firstHeaderRow="0" firstDataRow="1" firstDataCol="1"/>
  <pivotFields count="10">
    <pivotField numFmtId="14" showAll="0"/>
    <pivotField showAll="0"/>
    <pivotField showAll="0"/>
    <pivotField showAll="0" defaultSubtotal="0"/>
    <pivotField showAll="0"/>
    <pivotField showAll="0" defaultSubtotal="0"/>
    <pivotField showAll="0"/>
    <pivotField dataField="1" showAll="0"/>
    <pivotField dataField="1" showAll="0"/>
    <pivotField axis="axisRow" showAll="0">
      <items count="4">
        <item x="2"/>
        <item x="0"/>
        <item x="1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Qtd. Corridas" fld="8" subtotal="count" baseField="0" baseItem="0"/>
    <dataField name="faturamento" fld="7" baseField="7" baseItem="1"/>
    <dataField name="ticket_medio" fld="7" subtotal="average" baseField="7" baseItem="1"/>
  </dataFields>
  <chartFormats count="1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 chartFormat="1">
  <location ref="A1:E5" firstHeaderRow="1" firstDataRow="2" firstDataCol="1"/>
  <pivotFields count="9">
    <pivotField showAll="0"/>
    <pivotField axis="axisRow" showAll="0">
      <items count="4">
        <item x="0"/>
        <item x="1"/>
        <item n="noite" h="1" x="2"/>
        <item t="default"/>
      </items>
    </pivotField>
    <pivotField showAll="0"/>
    <pivotField showAll="0" defaultSubtotal="0"/>
    <pivotField showAll="0"/>
    <pivotField showAll="0"/>
    <pivotField showAll="0"/>
    <pivotField dataField="1" showAll="0"/>
    <pivotField axis="axisCol" showAll="0">
      <items count="5">
        <item x="2"/>
        <item x="0"/>
        <item x="1"/>
        <item n="Noite" h="1" x="3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Contagem de distância_km" fld="7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 chartFormat="1" rowHeaderCaption="horário">
  <location ref="A1:B353" firstHeaderRow="1" firstDataRow="1" firstDataCol="1"/>
  <pivotFields count="9">
    <pivotField showAll="0"/>
    <pivotField showAll="0"/>
    <pivotField axis="axisRow" showAll="0">
      <items count="352">
        <item x="110"/>
        <item x="64"/>
        <item x="28"/>
        <item x="9"/>
        <item x="111"/>
        <item x="89"/>
        <item x="18"/>
        <item x="0"/>
        <item x="105"/>
        <item x="109"/>
        <item x="44"/>
        <item x="32"/>
        <item x="98"/>
        <item x="88"/>
        <item x="73"/>
        <item x="45"/>
        <item x="23"/>
        <item x="82"/>
        <item x="48"/>
        <item x="55"/>
        <item x="17"/>
        <item x="29"/>
        <item x="104"/>
        <item x="74"/>
        <item x="99"/>
        <item x="70"/>
        <item x="56"/>
        <item x="38"/>
        <item x="115"/>
        <item x="11"/>
        <item x="68"/>
        <item x="50"/>
        <item x="30"/>
        <item x="5"/>
        <item x="21"/>
        <item x="106"/>
        <item x="83"/>
        <item x="90"/>
        <item x="59"/>
        <item x="75"/>
        <item x="24"/>
        <item x="1"/>
        <item x="53"/>
        <item x="91"/>
        <item x="31"/>
        <item x="120"/>
        <item x="85"/>
        <item x="76"/>
        <item x="13"/>
        <item x="54"/>
        <item x="20"/>
        <item x="62"/>
        <item x="81"/>
        <item x="94"/>
        <item x="100"/>
        <item x="93"/>
        <item x="69"/>
        <item x="57"/>
        <item x="84"/>
        <item x="35"/>
        <item x="22"/>
        <item x="33"/>
        <item x="41"/>
        <item x="66"/>
        <item x="27"/>
        <item x="60"/>
        <item x="87"/>
        <item x="107"/>
        <item x="26"/>
        <item x="19"/>
        <item x="78"/>
        <item x="2"/>
        <item x="12"/>
        <item x="92"/>
        <item x="117"/>
        <item x="101"/>
        <item x="10"/>
        <item x="114"/>
        <item x="46"/>
        <item x="79"/>
        <item x="112"/>
        <item x="65"/>
        <item x="3"/>
        <item x="39"/>
        <item x="36"/>
        <item x="95"/>
        <item x="102"/>
        <item x="72"/>
        <item x="43"/>
        <item x="47"/>
        <item x="25"/>
        <item x="15"/>
        <item x="121"/>
        <item x="80"/>
        <item x="108"/>
        <item x="58"/>
        <item x="8"/>
        <item x="16"/>
        <item x="86"/>
        <item x="4"/>
        <item x="119"/>
        <item x="34"/>
        <item x="67"/>
        <item x="42"/>
        <item x="49"/>
        <item x="103"/>
        <item x="97"/>
        <item x="77"/>
        <item x="63"/>
        <item x="7"/>
        <item x="118"/>
        <item x="51"/>
        <item x="96"/>
        <item x="61"/>
        <item x="37"/>
        <item x="6"/>
        <item x="14"/>
        <item x="116"/>
        <item x="71"/>
        <item x="52"/>
        <item x="113"/>
        <item x="40"/>
        <item x="310"/>
        <item x="184"/>
        <item x="138"/>
        <item x="215"/>
        <item x="185"/>
        <item x="305"/>
        <item x="218"/>
        <item x="140"/>
        <item x="290"/>
        <item x="266"/>
        <item x="217"/>
        <item x="228"/>
        <item x="157"/>
        <item x="289"/>
        <item x="303"/>
        <item x="252"/>
        <item x="220"/>
        <item x="348"/>
        <item x="288"/>
        <item x="195"/>
        <item x="326"/>
        <item x="133"/>
        <item x="155"/>
        <item x="175"/>
        <item x="154"/>
        <item x="206"/>
        <item x="307"/>
        <item x="132"/>
        <item x="270"/>
        <item x="299"/>
        <item x="194"/>
        <item x="254"/>
        <item x="324"/>
        <item x="320"/>
        <item x="271"/>
        <item x="329"/>
        <item x="214"/>
        <item x="284"/>
        <item x="314"/>
        <item x="302"/>
        <item x="148"/>
        <item x="232"/>
        <item x="191"/>
        <item x="282"/>
        <item x="156"/>
        <item x="168"/>
        <item x="186"/>
        <item x="339"/>
        <item x="134"/>
        <item x="285"/>
        <item x="216"/>
        <item x="298"/>
        <item x="229"/>
        <item x="286"/>
        <item x="177"/>
        <item x="149"/>
        <item x="227"/>
        <item x="193"/>
        <item x="268"/>
        <item x="319"/>
        <item x="152"/>
        <item x="219"/>
        <item x="337"/>
        <item x="173"/>
        <item x="283"/>
        <item x="263"/>
        <item x="280"/>
        <item x="249"/>
        <item x="335"/>
        <item x="231"/>
        <item x="323"/>
        <item x="306"/>
        <item x="128"/>
        <item x="212"/>
        <item x="170"/>
        <item x="347"/>
        <item x="308"/>
        <item x="226"/>
        <item x="239"/>
        <item x="144"/>
        <item x="130"/>
        <item x="182"/>
        <item x="238"/>
        <item x="209"/>
        <item x="336"/>
        <item x="165"/>
        <item x="123"/>
        <item x="267"/>
        <item x="246"/>
        <item x="304"/>
        <item x="167"/>
        <item x="327"/>
        <item x="257"/>
        <item x="199"/>
        <item x="281"/>
        <item x="334"/>
        <item x="207"/>
        <item x="174"/>
        <item x="275"/>
        <item x="169"/>
        <item x="147"/>
        <item x="122"/>
        <item x="196"/>
        <item x="313"/>
        <item x="237"/>
        <item x="300"/>
        <item x="166"/>
        <item x="145"/>
        <item x="179"/>
        <item x="346"/>
        <item x="265"/>
        <item x="251"/>
        <item x="129"/>
        <item x="273"/>
        <item x="208"/>
        <item x="321"/>
        <item x="260"/>
        <item x="262"/>
        <item x="127"/>
        <item x="309"/>
        <item x="332"/>
        <item x="287"/>
        <item x="158"/>
        <item x="153"/>
        <item x="341"/>
        <item x="222"/>
        <item x="259"/>
        <item x="325"/>
        <item x="247"/>
        <item x="316"/>
        <item x="277"/>
        <item x="151"/>
        <item x="125"/>
        <item x="178"/>
        <item x="261"/>
        <item x="235"/>
        <item x="197"/>
        <item x="301"/>
        <item x="211"/>
        <item x="331"/>
        <item x="297"/>
        <item x="163"/>
        <item x="161"/>
        <item x="311"/>
        <item x="322"/>
        <item x="225"/>
        <item x="291"/>
        <item x="188"/>
        <item x="210"/>
        <item x="248"/>
        <item x="141"/>
        <item x="241"/>
        <item x="292"/>
        <item x="201"/>
        <item x="345"/>
        <item x="333"/>
        <item x="181"/>
        <item x="150"/>
        <item x="279"/>
        <item x="142"/>
        <item x="198"/>
        <item x="318"/>
        <item x="269"/>
        <item x="221"/>
        <item x="131"/>
        <item x="258"/>
        <item x="189"/>
        <item x="242"/>
        <item x="172"/>
        <item x="278"/>
        <item x="162"/>
        <item x="328"/>
        <item x="244"/>
        <item x="159"/>
        <item x="135"/>
        <item x="343"/>
        <item x="180"/>
        <item x="293"/>
        <item x="236"/>
        <item x="164"/>
        <item x="160"/>
        <item x="312"/>
        <item x="264"/>
        <item x="143"/>
        <item x="230"/>
        <item x="137"/>
        <item x="213"/>
        <item x="234"/>
        <item x="146"/>
        <item x="294"/>
        <item x="223"/>
        <item x="274"/>
        <item x="315"/>
        <item x="340"/>
        <item x="250"/>
        <item x="171"/>
        <item x="126"/>
        <item x="200"/>
        <item x="342"/>
        <item x="190"/>
        <item x="233"/>
        <item x="338"/>
        <item x="253"/>
        <item x="192"/>
        <item x="224"/>
        <item x="124"/>
        <item x="344"/>
        <item x="330"/>
        <item x="203"/>
        <item x="176"/>
        <item x="245"/>
        <item x="317"/>
        <item x="205"/>
        <item x="295"/>
        <item x="350"/>
        <item x="243"/>
        <item x="276"/>
        <item x="136"/>
        <item x="296"/>
        <item x="255"/>
        <item x="183"/>
        <item x="139"/>
        <item x="240"/>
        <item x="204"/>
        <item x="256"/>
        <item x="187"/>
        <item x="202"/>
        <item x="349"/>
        <item x="272"/>
        <item t="default"/>
      </items>
    </pivotField>
    <pivotField showAll="0" defaultSubtotal="0"/>
    <pivotField showAll="0"/>
    <pivotField showAll="0"/>
    <pivotField dataField="1" showAll="0"/>
    <pivotField showAll="0"/>
    <pivotField showAll="0"/>
  </pivotFields>
  <rowFields count="1">
    <field x="2"/>
  </rowFields>
  <rowItems count="3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 t="grand">
      <x/>
    </i>
  </rowItems>
  <colItems count="1">
    <i/>
  </colItems>
  <dataFields count="1">
    <dataField name="Qtd. Corridas" fld="6" subtotal="count" baseField="2" baseItem="3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ela dinâmica3" cacheId="1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 chartFormat="1">
  <location ref="A1:B13" firstHeaderRow="1" firstDataRow="1" firstDataCol="1"/>
  <pivotFields count="10">
    <pivotField numFmtId="14" showAll="0"/>
    <pivotField showAll="0"/>
    <pivotField showAll="0"/>
    <pivotField axis="axisRow" showAll="0" defaultSubtotal="0">
      <items count="11">
        <item x="10"/>
        <item x="0"/>
        <item x="1"/>
        <item x="2"/>
        <item x="3"/>
        <item x="8"/>
        <item x="5"/>
        <item x="4"/>
        <item x="7"/>
        <item x="6"/>
        <item x="9"/>
      </items>
    </pivotField>
    <pivotField showAll="0"/>
    <pivotField showAll="0" defaultSubtotal="0"/>
    <pivotField showAll="0"/>
    <pivotField dataField="1" showAll="0"/>
    <pivotField showAll="0"/>
    <pivotField showAll="0"/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ntagem de valor_corrida" fld="7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ela dinâmica4" cacheId="1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 chartFormat="1">
  <location ref="A1:B13" firstHeaderRow="1" firstDataRow="1" firstDataCol="1"/>
  <pivotFields count="10">
    <pivotField numFmtId="14" showAll="0"/>
    <pivotField showAll="0"/>
    <pivotField showAll="0"/>
    <pivotField axis="axisRow" showAll="0">
      <items count="12">
        <item x="10"/>
        <item x="0"/>
        <item x="1"/>
        <item x="2"/>
        <item x="3"/>
        <item x="8"/>
        <item x="5"/>
        <item x="4"/>
        <item x="7"/>
        <item x="6"/>
        <item x="9"/>
        <item t="default"/>
      </items>
    </pivotField>
    <pivotField showAll="0"/>
    <pivotField showAll="0" defaultSubtotal="0"/>
    <pivotField showAll="0"/>
    <pivotField dataField="1" showAll="0"/>
    <pivotField showAll="0"/>
    <pivotField showAll="0"/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Média de valor_corrida" fld="7" subtotal="average" baseField="3" baseItem="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Tabela dinâmica5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 chartFormat="2">
  <location ref="A3:E7" firstHeaderRow="1" firstDataRow="2" firstDataCol="1"/>
  <pivotFields count="9"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 defaultSubtotal="0"/>
    <pivotField showAll="0"/>
    <pivotField showAll="0"/>
    <pivotField dataField="1" showAll="0"/>
    <pivotField showAll="0"/>
    <pivotField axis="axisCol" showAll="0">
      <items count="5">
        <item x="2"/>
        <item x="1"/>
        <item x="0"/>
        <item x="3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Média de valor_corrida" fld="6" subtotal="average" baseField="1" baseItem="1"/>
  </dataFields>
  <chartFormats count="6"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Tabela dinâmica6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 chartFormat="3" rowHeaderCaption="faixa_horaria">
  <location ref="A1:B14" firstHeaderRow="1" firstDataRow="1" firstDataCol="1"/>
  <pivotFields count="9">
    <pivotField showAll="0"/>
    <pivotField showAll="0"/>
    <pivotField showAll="0"/>
    <pivotField axis="axisRow" showAll="0">
      <items count="13">
        <item x="10"/>
        <item x="0"/>
        <item x="1"/>
        <item x="2"/>
        <item x="3"/>
        <item x="8"/>
        <item x="5"/>
        <item x="4"/>
        <item x="7"/>
        <item x="6"/>
        <item x="9"/>
        <item x="11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faturamento" fld="6" baseField="3" baseItem="3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Tabela dinâmica1" cacheId="1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 chartFormat="1">
  <location ref="A1:D12" firstHeaderRow="1" firstDataRow="2" firstDataCol="1"/>
  <pivotFields count="10">
    <pivotField numFmtId="14" showAll="0"/>
    <pivotField axis="axisCol" showAll="0" sortType="descending">
      <items count="3">
        <item x="1"/>
        <item x="0"/>
        <item t="default"/>
      </items>
    </pivotField>
    <pivotField showAll="0"/>
    <pivotField showAll="0"/>
    <pivotField showAll="0"/>
    <pivotField axis="axisRow" showAll="0" sortType="descending" defaultSubtotal="0">
      <items count="10">
        <item x="8"/>
        <item x="3"/>
        <item x="4"/>
        <item x="1"/>
        <item x="7"/>
        <item x="2"/>
        <item x="5"/>
        <item x="0"/>
        <item x="6"/>
        <item h="1"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>
      <items count="113">
        <item x="7"/>
        <item x="6"/>
        <item x="55"/>
        <item x="15"/>
        <item x="35"/>
        <item x="12"/>
        <item x="34"/>
        <item x="5"/>
        <item x="43"/>
        <item x="111"/>
        <item x="63"/>
        <item x="103"/>
        <item x="20"/>
        <item x="97"/>
        <item x="80"/>
        <item x="11"/>
        <item x="102"/>
        <item x="24"/>
        <item x="93"/>
        <item x="53"/>
        <item x="33"/>
        <item x="60"/>
        <item x="27"/>
        <item x="88"/>
        <item x="79"/>
        <item x="99"/>
        <item x="14"/>
        <item x="42"/>
        <item x="59"/>
        <item x="65"/>
        <item x="70"/>
        <item x="47"/>
        <item x="87"/>
        <item x="52"/>
        <item x="75"/>
        <item x="85"/>
        <item x="32"/>
        <item x="46"/>
        <item x="51"/>
        <item x="29"/>
        <item x="74"/>
        <item x="50"/>
        <item x="38"/>
        <item x="23"/>
        <item x="31"/>
        <item x="41"/>
        <item x="73"/>
        <item x="86"/>
        <item x="19"/>
        <item x="4"/>
        <item x="45"/>
        <item x="30"/>
        <item x="107"/>
        <item x="36"/>
        <item x="78"/>
        <item x="92"/>
        <item x="101"/>
        <item x="58"/>
        <item x="64"/>
        <item x="18"/>
        <item x="89"/>
        <item x="106"/>
        <item x="49"/>
        <item x="10"/>
        <item x="77"/>
        <item x="44"/>
        <item x="81"/>
        <item x="69"/>
        <item x="72"/>
        <item x="48"/>
        <item x="57"/>
        <item x="68"/>
        <item x="9"/>
        <item x="3"/>
        <item x="84"/>
        <item x="13"/>
        <item x="22"/>
        <item x="91"/>
        <item x="94"/>
        <item x="56"/>
        <item x="62"/>
        <item x="108"/>
        <item x="90"/>
        <item x="2"/>
        <item x="110"/>
        <item x="67"/>
        <item x="109"/>
        <item x="66"/>
        <item x="37"/>
        <item x="96"/>
        <item x="83"/>
        <item x="76"/>
        <item x="17"/>
        <item x="28"/>
        <item x="54"/>
        <item x="21"/>
        <item x="105"/>
        <item x="61"/>
        <item x="26"/>
        <item x="16"/>
        <item x="98"/>
        <item x="1"/>
        <item x="104"/>
        <item x="71"/>
        <item x="82"/>
        <item x="95"/>
        <item x="8"/>
        <item x="40"/>
        <item x="0"/>
        <item x="39"/>
        <item x="25"/>
        <item x="100"/>
        <item t="default"/>
      </items>
    </pivotField>
    <pivotField showAll="0"/>
    <pivotField showAll="0"/>
  </pivotFields>
  <rowFields count="1">
    <field x="5"/>
  </rowFields>
  <rowItems count="10">
    <i>
      <x v="7"/>
    </i>
    <i>
      <x v="2"/>
    </i>
    <i>
      <x v="5"/>
    </i>
    <i>
      <x v="6"/>
    </i>
    <i>
      <x/>
    </i>
    <i>
      <x v="3"/>
    </i>
    <i>
      <x v="4"/>
    </i>
    <i>
      <x v="8"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oma de valor_corrida" fld="7" baseField="5" baseItem="3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Tabela dinâmica4" cacheId="1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 chartFormat="2">
  <location ref="A1:B12" firstHeaderRow="1" firstDataRow="1" firstDataCol="1"/>
  <pivotFields count="10">
    <pivotField numFmtId="14" showAll="0"/>
    <pivotField showAll="0"/>
    <pivotField showAll="0"/>
    <pivotField axis="axisRow" showAll="0" sortType="descending">
      <items count="12">
        <item h="1" x="10"/>
        <item x="0"/>
        <item x="1"/>
        <item x="2"/>
        <item x="3"/>
        <item x="8"/>
        <item x="5"/>
        <item x="4"/>
        <item x="7"/>
        <item x="6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defaultSubtotal="0"/>
    <pivotField showAll="0"/>
    <pivotField dataField="1" showAll="0"/>
    <pivotField showAll="0"/>
    <pivotField showAll="0"/>
  </pivotFields>
  <rowFields count="1">
    <field x="3"/>
  </rowFields>
  <rowItems count="11">
    <i>
      <x v="1"/>
    </i>
    <i>
      <x v="7"/>
    </i>
    <i>
      <x v="8"/>
    </i>
    <i>
      <x v="2"/>
    </i>
    <i>
      <x v="9"/>
    </i>
    <i>
      <x v="6"/>
    </i>
    <i>
      <x v="3"/>
    </i>
    <i>
      <x v="4"/>
    </i>
    <i>
      <x v="5"/>
    </i>
    <i>
      <x v="10"/>
    </i>
    <i t="grand">
      <x/>
    </i>
  </rowItems>
  <colItems count="1">
    <i/>
  </colItems>
  <dataFields count="1">
    <dataField name="Média de valor_corrida" fld="7" subtotal="average" baseField="3" baseItem="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Tabela dinâmica3" cacheId="1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 chartFormat="2" rowHeaderCaption="faixa por hora">
  <location ref="A1:B13" firstHeaderRow="1" firstDataRow="1" firstDataCol="1"/>
  <pivotFields count="10">
    <pivotField numFmtId="14" showAll="0"/>
    <pivotField showAll="0"/>
    <pivotField showAll="0"/>
    <pivotField axis="axisRow" showAll="0" sortType="descending" defaultSubtotal="0">
      <items count="11">
        <item x="9"/>
        <item x="6"/>
        <item x="7"/>
        <item x="4"/>
        <item x="5"/>
        <item x="8"/>
        <item x="3"/>
        <item x="2"/>
        <item x="1"/>
        <item x="0"/>
        <item x="1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defaultSubtotal="0"/>
    <pivotField showAll="0"/>
    <pivotField dataField="1" showAll="0"/>
    <pivotField showAll="0"/>
    <pivotField showAll="0"/>
  </pivotFields>
  <rowFields count="1">
    <field x="3"/>
  </rowFields>
  <rowItems count="12">
    <i>
      <x v="4"/>
    </i>
    <i>
      <x v="3"/>
    </i>
    <i>
      <x v="8"/>
    </i>
    <i>
      <x v="2"/>
    </i>
    <i>
      <x v="7"/>
    </i>
    <i>
      <x v="1"/>
    </i>
    <i>
      <x v="5"/>
    </i>
    <i>
      <x v="9"/>
    </i>
    <i>
      <x v="6"/>
    </i>
    <i>
      <x/>
    </i>
    <i>
      <x v="10"/>
    </i>
    <i t="grand">
      <x/>
    </i>
  </rowItems>
  <colItems count="1">
    <i/>
  </colItems>
  <dataFields count="1">
    <dataField name="Contagem de valor_corrida" fld="7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Tabela dinâmica6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 chartFormat="4" rowHeaderCaption="faixa_horaria">
  <location ref="A1:B12" firstHeaderRow="1" firstDataRow="1" firstDataCol="1"/>
  <pivotFields count="9">
    <pivotField showAll="0"/>
    <pivotField showAll="0"/>
    <pivotField showAll="0"/>
    <pivotField axis="axisRow" showAll="0">
      <items count="13">
        <item h="1" x="10"/>
        <item x="0"/>
        <item x="1"/>
        <item x="2"/>
        <item x="3"/>
        <item x="8"/>
        <item x="5"/>
        <item x="4"/>
        <item x="7"/>
        <item x="6"/>
        <item x="9"/>
        <item h="1" x="11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3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faturamento" fld="6" baseField="3" baseItem="3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Tabela dinâmica2" cacheId="1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 chartFormat="1" colHeaderCaption="Valor Corrida">
  <location ref="A1:E12" firstHeaderRow="1" firstDataRow="2" firstDataCol="1"/>
  <pivotFields count="10">
    <pivotField numFmtId="14" showAll="0"/>
    <pivotField showAll="0"/>
    <pivotField showAll="0"/>
    <pivotField showAll="0"/>
    <pivotField showAll="0" sortType="descending">
      <items count="40">
        <item x="37"/>
        <item x="11"/>
        <item x="4"/>
        <item x="30"/>
        <item x="35"/>
        <item x="15"/>
        <item x="38"/>
        <item x="3"/>
        <item x="9"/>
        <item x="7"/>
        <item x="1"/>
        <item x="22"/>
        <item x="23"/>
        <item x="18"/>
        <item x="5"/>
        <item x="26"/>
        <item x="24"/>
        <item x="8"/>
        <item x="27"/>
        <item x="10"/>
        <item x="0"/>
        <item x="20"/>
        <item x="25"/>
        <item x="2"/>
        <item x="16"/>
        <item x="34"/>
        <item x="21"/>
        <item x="12"/>
        <item x="29"/>
        <item x="17"/>
        <item x="32"/>
        <item x="19"/>
        <item x="14"/>
        <item x="6"/>
        <item x="36"/>
        <item x="31"/>
        <item x="33"/>
        <item x="13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11">
        <item x="8"/>
        <item x="3"/>
        <item x="4"/>
        <item x="1"/>
        <item x="7"/>
        <item x="2"/>
        <item x="5"/>
        <item x="0"/>
        <item x="6"/>
        <item h="1" x="9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9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axis="axisCol" showAll="0">
      <items count="4">
        <item x="2"/>
        <item x="0"/>
        <item x="1"/>
        <item t="default"/>
      </items>
    </pivotField>
  </pivotFields>
  <rowFields count="1">
    <field x="5"/>
  </rowFields>
  <rowItems count="10">
    <i>
      <x v="7"/>
    </i>
    <i>
      <x v="2"/>
    </i>
    <i>
      <x v="5"/>
    </i>
    <i>
      <x/>
    </i>
    <i>
      <x v="3"/>
    </i>
    <i>
      <x v="6"/>
    </i>
    <i>
      <x v="1"/>
    </i>
    <i>
      <x v="8"/>
    </i>
    <i>
      <x v="4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Contagem de valor_corrida" fld="7" subtotal="count" baseField="4" baseItem="3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Tabela dinâmica3" cacheId="1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 chartFormat="1">
  <location ref="A3:B14" firstHeaderRow="1" firstDataRow="1" firstDataCol="1"/>
  <pivotFields count="10">
    <pivotField numFmtId="14" showAll="0"/>
    <pivotField showAll="0"/>
    <pivotField showAll="0"/>
    <pivotField showAll="0"/>
    <pivotField showAll="0"/>
    <pivotField axis="axisRow" showAll="0" sortType="descending">
      <items count="11">
        <item x="8"/>
        <item x="3"/>
        <item x="4"/>
        <item x="1"/>
        <item x="7"/>
        <item x="2"/>
        <item x="5"/>
        <item x="0"/>
        <item x="6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</pivotFields>
  <rowFields count="1">
    <field x="5"/>
  </rowFields>
  <rowItems count="11">
    <i>
      <x v="3"/>
    </i>
    <i>
      <x v="8"/>
    </i>
    <i>
      <x v="6"/>
    </i>
    <i>
      <x v="1"/>
    </i>
    <i>
      <x v="2"/>
    </i>
    <i>
      <x v="7"/>
    </i>
    <i>
      <x v="5"/>
    </i>
    <i>
      <x/>
    </i>
    <i>
      <x v="4"/>
    </i>
    <i>
      <x v="9"/>
    </i>
    <i t="grand">
      <x/>
    </i>
  </rowItems>
  <colItems count="1">
    <i/>
  </colItems>
  <dataFields count="1">
    <dataField name="Média de valor_corrida" fld="7" subtotal="average" baseField="5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Tabela dinâmica4" cacheId="1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 chartFormat="1">
  <location ref="A1:B11" firstHeaderRow="1" firstDataRow="1" firstDataCol="1"/>
  <pivotFields count="10">
    <pivotField numFmtId="14" showAll="0"/>
    <pivotField showAll="0"/>
    <pivotField showAll="0"/>
    <pivotField showAll="0"/>
    <pivotField showAll="0" sortType="descending">
      <items count="40">
        <item x="37"/>
        <item x="11"/>
        <item x="4"/>
        <item x="30"/>
        <item x="35"/>
        <item x="15"/>
        <item x="38"/>
        <item x="3"/>
        <item x="9"/>
        <item x="7"/>
        <item x="1"/>
        <item x="22"/>
        <item x="23"/>
        <item x="18"/>
        <item x="5"/>
        <item x="26"/>
        <item x="24"/>
        <item x="8"/>
        <item x="27"/>
        <item x="10"/>
        <item x="0"/>
        <item x="20"/>
        <item x="25"/>
        <item x="2"/>
        <item x="16"/>
        <item x="34"/>
        <item x="21"/>
        <item x="12"/>
        <item x="29"/>
        <item x="17"/>
        <item x="32"/>
        <item x="19"/>
        <item x="14"/>
        <item x="6"/>
        <item x="36"/>
        <item x="31"/>
        <item x="33"/>
        <item x="13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11">
        <item x="8"/>
        <item x="3"/>
        <item x="4"/>
        <item x="1"/>
        <item x="7"/>
        <item x="2"/>
        <item x="5"/>
        <item x="0"/>
        <item x="6"/>
        <item h="1"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</pivotFields>
  <rowFields count="1">
    <field x="5"/>
  </rowFields>
  <rowItems count="10">
    <i>
      <x v="7"/>
    </i>
    <i>
      <x v="2"/>
    </i>
    <i>
      <x v="5"/>
    </i>
    <i>
      <x/>
    </i>
    <i>
      <x v="6"/>
    </i>
    <i>
      <x v="3"/>
    </i>
    <i>
      <x v="4"/>
    </i>
    <i>
      <x v="8"/>
    </i>
    <i>
      <x v="1"/>
    </i>
    <i t="grand">
      <x/>
    </i>
  </rowItems>
  <colItems count="1">
    <i/>
  </colItems>
  <dataFields count="1">
    <dataField name="Contagem de valor_corrida" fld="7" subtotal="count" baseField="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Tabela dinâmica5" cacheId="1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 chartFormat="1" rowHeaderCaption="Regional">
  <location ref="A1:C11" firstHeaderRow="0" firstDataRow="1" firstDataCol="1"/>
  <pivotFields count="10">
    <pivotField numFmtId="14" showAll="0"/>
    <pivotField showAll="0"/>
    <pivotField showAll="0"/>
    <pivotField showAll="0"/>
    <pivotField showAll="0"/>
    <pivotField axis="axisRow" showAll="0" sortType="descending">
      <items count="11">
        <item x="8"/>
        <item x="3"/>
        <item x="4"/>
        <item x="1"/>
        <item x="7"/>
        <item x="2"/>
        <item x="5"/>
        <item x="0"/>
        <item x="6"/>
        <item h="1"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</pivotFields>
  <rowFields count="1">
    <field x="5"/>
  </rowFields>
  <rowItems count="10">
    <i>
      <x v="7"/>
    </i>
    <i>
      <x v="2"/>
    </i>
    <i>
      <x v="5"/>
    </i>
    <i>
      <x/>
    </i>
    <i>
      <x v="6"/>
    </i>
    <i>
      <x v="3"/>
    </i>
    <i>
      <x v="4"/>
    </i>
    <i>
      <x v="8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Qtd. Corridas" fld="7" subtotal="count" baseField="5" baseItem="0"/>
    <dataField name="Ticket médio" fld="7" subtotal="average" baseField="5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Tabela dinâmica6" cacheId="1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 chartFormat="1" rowHeaderCaption="Regional">
  <location ref="A1:D11" firstHeaderRow="0" firstDataRow="1" firstDataCol="1"/>
  <pivotFields count="10">
    <pivotField numFmtId="14" showAll="0"/>
    <pivotField showAll="0"/>
    <pivotField showAll="0"/>
    <pivotField showAll="0"/>
    <pivotField showAll="0"/>
    <pivotField axis="axisRow" showAll="0" sortType="descending">
      <items count="11">
        <item x="8"/>
        <item x="3"/>
        <item x="4"/>
        <item x="1"/>
        <item x="7"/>
        <item x="2"/>
        <item x="5"/>
        <item x="0"/>
        <item x="6"/>
        <item h="1"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</pivotFields>
  <rowFields count="1">
    <field x="5"/>
  </rowFields>
  <rowItems count="10">
    <i>
      <x v="7"/>
    </i>
    <i>
      <x v="2"/>
    </i>
    <i>
      <x v="5"/>
    </i>
    <i>
      <x v="6"/>
    </i>
    <i>
      <x/>
    </i>
    <i>
      <x v="3"/>
    </i>
    <i>
      <x v="4"/>
    </i>
    <i>
      <x v="8"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aturamento" fld="7" baseField="5" baseItem="3"/>
    <dataField name="Qtd. Corridas" fld="7" subtotal="count" baseField="0" baseItem="0"/>
    <dataField name="Ticket médio" fld="7" subtotal="average" baseField="5" baseItem="6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7.xml><?xml version="1.0" encoding="utf-8"?>
<pivotTableDefinition xmlns="http://schemas.openxmlformats.org/spreadsheetml/2006/main" name="Tabela dinâmica7" cacheId="1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 chartFormat="5">
  <location ref="A1:D2" firstHeaderRow="0" firstDataRow="1" firstDataCol="0"/>
  <pivotFields count="10"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a" fld="7" baseField="0" baseItem="1"/>
    <dataField name="Contagem" fld="7" subtotal="count" baseField="0" baseItem="1"/>
    <dataField name="Ticket médio" fld="7" subtotal="average" baseField="0" baseItem="2"/>
    <dataField name="distância_média_km" fld="8" subtotal="average" baseField="0" baseItem="3"/>
  </dataField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9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0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1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2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13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14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ivotTable" Target="../pivotTables/pivotTable15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ivotTable" Target="../pivotTables/pivotTable16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ivotTable" Target="../pivotTables/pivot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abSelected="1" zoomScale="90" zoomScaleNormal="90" workbookViewId="0">
      <selection activeCell="I4" sqref="I4"/>
    </sheetView>
  </sheetViews>
  <sheetFormatPr defaultRowHeight="15" x14ac:dyDescent="0.25"/>
  <cols>
    <col min="1" max="1" width="31.85546875" bestFit="1" customWidth="1"/>
    <col min="2" max="2" width="11.42578125" customWidth="1"/>
  </cols>
  <sheetData>
    <row r="1" spans="1:1" x14ac:dyDescent="0.25">
      <c r="A1" t="s">
        <v>125</v>
      </c>
    </row>
    <row r="2" spans="1:1" x14ac:dyDescent="0.25">
      <c r="A2" t="s">
        <v>126</v>
      </c>
    </row>
    <row r="3" spans="1:1" x14ac:dyDescent="0.25">
      <c r="A3" t="s">
        <v>127</v>
      </c>
    </row>
    <row r="4" spans="1:1" x14ac:dyDescent="0.25">
      <c r="A4" t="s">
        <v>128</v>
      </c>
    </row>
    <row r="5" spans="1:1" x14ac:dyDescent="0.25">
      <c r="A5" t="s">
        <v>129</v>
      </c>
    </row>
    <row r="6" spans="1:1" x14ac:dyDescent="0.25">
      <c r="A6" t="s">
        <v>130</v>
      </c>
    </row>
    <row r="7" spans="1:1" x14ac:dyDescent="0.25">
      <c r="A7" t="s">
        <v>131</v>
      </c>
    </row>
    <row r="8" spans="1:1" x14ac:dyDescent="0.25">
      <c r="A8" t="s">
        <v>132</v>
      </c>
    </row>
    <row r="9" spans="1:1" x14ac:dyDescent="0.25">
      <c r="A9" t="s">
        <v>133</v>
      </c>
    </row>
    <row r="10" spans="1:1" x14ac:dyDescent="0.25">
      <c r="A10" t="s">
        <v>134</v>
      </c>
    </row>
    <row r="11" spans="1:1" x14ac:dyDescent="0.25">
      <c r="A11" t="s">
        <v>135</v>
      </c>
    </row>
    <row r="12" spans="1:1" x14ac:dyDescent="0.25">
      <c r="A12" t="s">
        <v>136</v>
      </c>
    </row>
    <row r="13" spans="1:1" x14ac:dyDescent="0.25">
      <c r="A13" t="s">
        <v>139</v>
      </c>
    </row>
    <row r="14" spans="1:1" x14ac:dyDescent="0.25">
      <c r="A14" t="s">
        <v>138</v>
      </c>
    </row>
    <row r="15" spans="1:1" x14ac:dyDescent="0.25">
      <c r="A15" t="s">
        <v>137</v>
      </c>
    </row>
    <row r="17" spans="1:2" x14ac:dyDescent="0.25">
      <c r="A17" s="17"/>
      <c r="B17" t="s">
        <v>112</v>
      </c>
    </row>
    <row r="18" spans="1:2" x14ac:dyDescent="0.25">
      <c r="A18" s="16"/>
    </row>
    <row r="19" spans="1:2" x14ac:dyDescent="0.25">
      <c r="A19" s="18"/>
      <c r="B19" t="s">
        <v>111</v>
      </c>
    </row>
    <row r="20" spans="1:2" x14ac:dyDescent="0.25">
      <c r="A20" s="20"/>
    </row>
    <row r="21" spans="1:2" x14ac:dyDescent="0.25">
      <c r="A21" s="21"/>
      <c r="B21" t="s">
        <v>113</v>
      </c>
    </row>
    <row r="22" spans="1:2" x14ac:dyDescent="0.25">
      <c r="A22" s="19"/>
    </row>
    <row r="23" spans="1:2" x14ac:dyDescent="0.25">
      <c r="A23" s="23"/>
      <c r="B23" t="s">
        <v>114</v>
      </c>
    </row>
    <row r="24" spans="1:2" x14ac:dyDescent="0.25">
      <c r="A24" s="22"/>
    </row>
    <row r="25" spans="1:2" x14ac:dyDescent="0.25">
      <c r="A25" s="24"/>
    </row>
    <row r="26" spans="1:2" x14ac:dyDescent="0.25">
      <c r="A26" s="25"/>
      <c r="B26" t="s">
        <v>124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B590"/>
  <sheetViews>
    <sheetView workbookViewId="0">
      <selection activeCell="A8" sqref="A8"/>
    </sheetView>
  </sheetViews>
  <sheetFormatPr defaultRowHeight="15" x14ac:dyDescent="0.25"/>
  <cols>
    <col min="1" max="1" width="26.7109375" bestFit="1" customWidth="1"/>
    <col min="2" max="2" width="18" bestFit="1" customWidth="1"/>
  </cols>
  <sheetData>
    <row r="1" spans="1:2" x14ac:dyDescent="0.25">
      <c r="A1" t="s">
        <v>87</v>
      </c>
      <c r="B1" t="s">
        <v>115</v>
      </c>
    </row>
    <row r="2" spans="1:2" x14ac:dyDescent="0.25">
      <c r="A2" t="s">
        <v>9</v>
      </c>
      <c r="B2" t="s">
        <v>6</v>
      </c>
    </row>
    <row r="3" spans="1:2" x14ac:dyDescent="0.25">
      <c r="A3" t="s">
        <v>9</v>
      </c>
      <c r="B3" t="s">
        <v>6</v>
      </c>
    </row>
    <row r="4" spans="1:2" x14ac:dyDescent="0.25">
      <c r="A4" t="s">
        <v>9</v>
      </c>
      <c r="B4" t="s">
        <v>6</v>
      </c>
    </row>
    <row r="5" spans="1:2" x14ac:dyDescent="0.25">
      <c r="A5" t="s">
        <v>9</v>
      </c>
      <c r="B5" t="s">
        <v>6</v>
      </c>
    </row>
    <row r="6" spans="1:2" x14ac:dyDescent="0.25">
      <c r="A6" t="s">
        <v>9</v>
      </c>
      <c r="B6" t="s">
        <v>6</v>
      </c>
    </row>
    <row r="7" spans="1:2" x14ac:dyDescent="0.25">
      <c r="A7" t="s">
        <v>9</v>
      </c>
      <c r="B7" t="s">
        <v>6</v>
      </c>
    </row>
    <row r="8" spans="1:2" x14ac:dyDescent="0.25">
      <c r="A8" t="s">
        <v>9</v>
      </c>
      <c r="B8" t="s">
        <v>6</v>
      </c>
    </row>
    <row r="9" spans="1:2" x14ac:dyDescent="0.25">
      <c r="A9" t="s">
        <v>9</v>
      </c>
      <c r="B9" t="s">
        <v>6</v>
      </c>
    </row>
    <row r="10" spans="1:2" x14ac:dyDescent="0.25">
      <c r="A10" t="s">
        <v>9</v>
      </c>
      <c r="B10" t="s">
        <v>6</v>
      </c>
    </row>
    <row r="11" spans="1:2" x14ac:dyDescent="0.25">
      <c r="A11" t="s">
        <v>9</v>
      </c>
      <c r="B11" t="s">
        <v>6</v>
      </c>
    </row>
    <row r="12" spans="1:2" x14ac:dyDescent="0.25">
      <c r="A12" t="s">
        <v>9</v>
      </c>
      <c r="B12" t="s">
        <v>6</v>
      </c>
    </row>
    <row r="13" spans="1:2" x14ac:dyDescent="0.25">
      <c r="A13" t="s">
        <v>9</v>
      </c>
      <c r="B13" t="s">
        <v>6</v>
      </c>
    </row>
    <row r="14" spans="1:2" x14ac:dyDescent="0.25">
      <c r="A14" t="s">
        <v>9</v>
      </c>
      <c r="B14" t="s">
        <v>6</v>
      </c>
    </row>
    <row r="15" spans="1:2" x14ac:dyDescent="0.25">
      <c r="A15" t="s">
        <v>9</v>
      </c>
      <c r="B15" t="s">
        <v>6</v>
      </c>
    </row>
    <row r="16" spans="1:2" x14ac:dyDescent="0.25">
      <c r="A16" t="s">
        <v>9</v>
      </c>
      <c r="B16" t="s">
        <v>6</v>
      </c>
    </row>
    <row r="17" spans="1:2" x14ac:dyDescent="0.25">
      <c r="A17" t="s">
        <v>9</v>
      </c>
      <c r="B17" t="s">
        <v>6</v>
      </c>
    </row>
    <row r="18" spans="1:2" x14ac:dyDescent="0.25">
      <c r="A18" t="s">
        <v>9</v>
      </c>
      <c r="B18" t="s">
        <v>6</v>
      </c>
    </row>
    <row r="19" spans="1:2" x14ac:dyDescent="0.25">
      <c r="A19" t="s">
        <v>9</v>
      </c>
      <c r="B19" t="s">
        <v>6</v>
      </c>
    </row>
    <row r="20" spans="1:2" x14ac:dyDescent="0.25">
      <c r="A20" t="s">
        <v>9</v>
      </c>
      <c r="B20" t="s">
        <v>6</v>
      </c>
    </row>
    <row r="21" spans="1:2" x14ac:dyDescent="0.25">
      <c r="A21" t="s">
        <v>9</v>
      </c>
      <c r="B21" t="s">
        <v>6</v>
      </c>
    </row>
    <row r="22" spans="1:2" x14ac:dyDescent="0.25">
      <c r="A22" t="s">
        <v>9</v>
      </c>
      <c r="B22" t="s">
        <v>6</v>
      </c>
    </row>
    <row r="23" spans="1:2" x14ac:dyDescent="0.25">
      <c r="A23" t="s">
        <v>9</v>
      </c>
      <c r="B23" t="s">
        <v>6</v>
      </c>
    </row>
    <row r="24" spans="1:2" x14ac:dyDescent="0.25">
      <c r="A24" t="s">
        <v>9</v>
      </c>
      <c r="B24" t="s">
        <v>6</v>
      </c>
    </row>
    <row r="25" spans="1:2" x14ac:dyDescent="0.25">
      <c r="A25" t="s">
        <v>9</v>
      </c>
      <c r="B25" t="s">
        <v>6</v>
      </c>
    </row>
    <row r="26" spans="1:2" x14ac:dyDescent="0.25">
      <c r="A26" t="s">
        <v>9</v>
      </c>
      <c r="B26" t="s">
        <v>6</v>
      </c>
    </row>
    <row r="27" spans="1:2" x14ac:dyDescent="0.25">
      <c r="A27" t="s">
        <v>9</v>
      </c>
      <c r="B27" t="s">
        <v>6</v>
      </c>
    </row>
    <row r="28" spans="1:2" x14ac:dyDescent="0.25">
      <c r="A28" t="s">
        <v>9</v>
      </c>
      <c r="B28" t="s">
        <v>6</v>
      </c>
    </row>
    <row r="29" spans="1:2" x14ac:dyDescent="0.25">
      <c r="A29" t="s">
        <v>9</v>
      </c>
      <c r="B29" t="s">
        <v>6</v>
      </c>
    </row>
    <row r="30" spans="1:2" x14ac:dyDescent="0.25">
      <c r="A30" t="s">
        <v>9</v>
      </c>
      <c r="B30" t="s">
        <v>6</v>
      </c>
    </row>
    <row r="31" spans="1:2" x14ac:dyDescent="0.25">
      <c r="A31" t="s">
        <v>9</v>
      </c>
      <c r="B31" t="s">
        <v>6</v>
      </c>
    </row>
    <row r="32" spans="1:2" x14ac:dyDescent="0.25">
      <c r="A32" t="s">
        <v>9</v>
      </c>
      <c r="B32" t="s">
        <v>6</v>
      </c>
    </row>
    <row r="33" spans="1:2" x14ac:dyDescent="0.25">
      <c r="A33" t="s">
        <v>9</v>
      </c>
      <c r="B33" t="s">
        <v>6</v>
      </c>
    </row>
    <row r="34" spans="1:2" x14ac:dyDescent="0.25">
      <c r="A34" t="s">
        <v>9</v>
      </c>
      <c r="B34" t="s">
        <v>6</v>
      </c>
    </row>
    <row r="35" spans="1:2" x14ac:dyDescent="0.25">
      <c r="A35" t="s">
        <v>9</v>
      </c>
      <c r="B35" t="s">
        <v>6</v>
      </c>
    </row>
    <row r="36" spans="1:2" x14ac:dyDescent="0.25">
      <c r="A36" t="s">
        <v>9</v>
      </c>
      <c r="B36" t="s">
        <v>6</v>
      </c>
    </row>
    <row r="37" spans="1:2" x14ac:dyDescent="0.25">
      <c r="A37" t="s">
        <v>9</v>
      </c>
      <c r="B37" t="s">
        <v>6</v>
      </c>
    </row>
    <row r="38" spans="1:2" x14ac:dyDescent="0.25">
      <c r="A38" t="s">
        <v>9</v>
      </c>
      <c r="B38" t="s">
        <v>6</v>
      </c>
    </row>
    <row r="39" spans="1:2" x14ac:dyDescent="0.25">
      <c r="A39" t="s">
        <v>9</v>
      </c>
      <c r="B39" t="s">
        <v>6</v>
      </c>
    </row>
    <row r="40" spans="1:2" x14ac:dyDescent="0.25">
      <c r="A40" t="s">
        <v>9</v>
      </c>
      <c r="B40" t="s">
        <v>6</v>
      </c>
    </row>
    <row r="41" spans="1:2" x14ac:dyDescent="0.25">
      <c r="A41" t="s">
        <v>9</v>
      </c>
      <c r="B41" t="s">
        <v>6</v>
      </c>
    </row>
    <row r="42" spans="1:2" x14ac:dyDescent="0.25">
      <c r="A42" t="s">
        <v>9</v>
      </c>
      <c r="B42" t="s">
        <v>6</v>
      </c>
    </row>
    <row r="43" spans="1:2" x14ac:dyDescent="0.25">
      <c r="A43" t="s">
        <v>9</v>
      </c>
      <c r="B43" t="s">
        <v>6</v>
      </c>
    </row>
    <row r="44" spans="1:2" x14ac:dyDescent="0.25">
      <c r="A44" t="s">
        <v>9</v>
      </c>
      <c r="B44" t="s">
        <v>6</v>
      </c>
    </row>
    <row r="45" spans="1:2" x14ac:dyDescent="0.25">
      <c r="A45" t="s">
        <v>9</v>
      </c>
      <c r="B45" t="s">
        <v>6</v>
      </c>
    </row>
    <row r="46" spans="1:2" x14ac:dyDescent="0.25">
      <c r="A46" t="s">
        <v>9</v>
      </c>
      <c r="B46" t="s">
        <v>6</v>
      </c>
    </row>
    <row r="47" spans="1:2" x14ac:dyDescent="0.25">
      <c r="A47" t="s">
        <v>9</v>
      </c>
      <c r="B47" t="s">
        <v>6</v>
      </c>
    </row>
    <row r="48" spans="1:2" x14ac:dyDescent="0.25">
      <c r="A48" t="s">
        <v>9</v>
      </c>
      <c r="B48" t="s">
        <v>6</v>
      </c>
    </row>
    <row r="49" spans="1:2" x14ac:dyDescent="0.25">
      <c r="A49" t="s">
        <v>9</v>
      </c>
      <c r="B49" t="s">
        <v>6</v>
      </c>
    </row>
    <row r="50" spans="1:2" x14ac:dyDescent="0.25">
      <c r="A50" t="s">
        <v>9</v>
      </c>
      <c r="B50" t="s">
        <v>6</v>
      </c>
    </row>
    <row r="51" spans="1:2" x14ac:dyDescent="0.25">
      <c r="A51" t="s">
        <v>9</v>
      </c>
      <c r="B51" t="s">
        <v>6</v>
      </c>
    </row>
    <row r="52" spans="1:2" x14ac:dyDescent="0.25">
      <c r="A52" t="s">
        <v>9</v>
      </c>
      <c r="B52" t="s">
        <v>6</v>
      </c>
    </row>
    <row r="53" spans="1:2" x14ac:dyDescent="0.25">
      <c r="A53" t="s">
        <v>9</v>
      </c>
      <c r="B53" t="s">
        <v>6</v>
      </c>
    </row>
    <row r="54" spans="1:2" x14ac:dyDescent="0.25">
      <c r="A54" t="s">
        <v>9</v>
      </c>
      <c r="B54" t="s">
        <v>6</v>
      </c>
    </row>
    <row r="55" spans="1:2" x14ac:dyDescent="0.25">
      <c r="A55" t="s">
        <v>9</v>
      </c>
      <c r="B55" t="s">
        <v>6</v>
      </c>
    </row>
    <row r="56" spans="1:2" x14ac:dyDescent="0.25">
      <c r="A56" t="s">
        <v>9</v>
      </c>
      <c r="B56" t="s">
        <v>6</v>
      </c>
    </row>
    <row r="57" spans="1:2" x14ac:dyDescent="0.25">
      <c r="A57" t="s">
        <v>9</v>
      </c>
      <c r="B57" t="s">
        <v>6</v>
      </c>
    </row>
    <row r="58" spans="1:2" x14ac:dyDescent="0.25">
      <c r="A58" t="s">
        <v>9</v>
      </c>
      <c r="B58" t="s">
        <v>6</v>
      </c>
    </row>
    <row r="59" spans="1:2" x14ac:dyDescent="0.25">
      <c r="A59" t="s">
        <v>9</v>
      </c>
      <c r="B59" t="s">
        <v>6</v>
      </c>
    </row>
    <row r="60" spans="1:2" x14ac:dyDescent="0.25">
      <c r="A60" t="s">
        <v>9</v>
      </c>
      <c r="B60" t="s">
        <v>6</v>
      </c>
    </row>
    <row r="61" spans="1:2" x14ac:dyDescent="0.25">
      <c r="A61" t="s">
        <v>9</v>
      </c>
      <c r="B61" t="s">
        <v>6</v>
      </c>
    </row>
    <row r="62" spans="1:2" x14ac:dyDescent="0.25">
      <c r="A62" t="s">
        <v>9</v>
      </c>
      <c r="B62" t="s">
        <v>6</v>
      </c>
    </row>
    <row r="63" spans="1:2" x14ac:dyDescent="0.25">
      <c r="A63" t="s">
        <v>9</v>
      </c>
      <c r="B63" t="s">
        <v>6</v>
      </c>
    </row>
    <row r="64" spans="1:2" x14ac:dyDescent="0.25">
      <c r="A64" t="s">
        <v>9</v>
      </c>
      <c r="B64" t="s">
        <v>6</v>
      </c>
    </row>
    <row r="65" spans="1:2" x14ac:dyDescent="0.25">
      <c r="A65" t="s">
        <v>9</v>
      </c>
      <c r="B65" t="s">
        <v>6</v>
      </c>
    </row>
    <row r="66" spans="1:2" x14ac:dyDescent="0.25">
      <c r="A66" t="s">
        <v>9</v>
      </c>
      <c r="B66" t="s">
        <v>6</v>
      </c>
    </row>
    <row r="67" spans="1:2" x14ac:dyDescent="0.25">
      <c r="A67" t="s">
        <v>9</v>
      </c>
      <c r="B67" t="s">
        <v>6</v>
      </c>
    </row>
    <row r="68" spans="1:2" x14ac:dyDescent="0.25">
      <c r="A68" t="s">
        <v>9</v>
      </c>
      <c r="B68" t="s">
        <v>6</v>
      </c>
    </row>
    <row r="69" spans="1:2" x14ac:dyDescent="0.25">
      <c r="A69" t="s">
        <v>9</v>
      </c>
      <c r="B69" t="s">
        <v>6</v>
      </c>
    </row>
    <row r="70" spans="1:2" x14ac:dyDescent="0.25">
      <c r="A70" t="s">
        <v>9</v>
      </c>
      <c r="B70" t="s">
        <v>6</v>
      </c>
    </row>
    <row r="71" spans="1:2" x14ac:dyDescent="0.25">
      <c r="A71" t="s">
        <v>9</v>
      </c>
      <c r="B71" t="s">
        <v>6</v>
      </c>
    </row>
    <row r="72" spans="1:2" x14ac:dyDescent="0.25">
      <c r="A72" t="s">
        <v>9</v>
      </c>
      <c r="B72" t="s">
        <v>6</v>
      </c>
    </row>
    <row r="73" spans="1:2" x14ac:dyDescent="0.25">
      <c r="A73" t="s">
        <v>9</v>
      </c>
      <c r="B73" t="s">
        <v>6</v>
      </c>
    </row>
    <row r="74" spans="1:2" x14ac:dyDescent="0.25">
      <c r="A74" t="s">
        <v>9</v>
      </c>
      <c r="B74" t="s">
        <v>6</v>
      </c>
    </row>
    <row r="75" spans="1:2" x14ac:dyDescent="0.25">
      <c r="A75" t="s">
        <v>9</v>
      </c>
      <c r="B75" t="s">
        <v>6</v>
      </c>
    </row>
    <row r="76" spans="1:2" x14ac:dyDescent="0.25">
      <c r="A76" t="s">
        <v>9</v>
      </c>
      <c r="B76" t="s">
        <v>6</v>
      </c>
    </row>
    <row r="77" spans="1:2" x14ac:dyDescent="0.25">
      <c r="A77" t="s">
        <v>9</v>
      </c>
      <c r="B77" t="s">
        <v>6</v>
      </c>
    </row>
    <row r="78" spans="1:2" x14ac:dyDescent="0.25">
      <c r="A78" t="s">
        <v>9</v>
      </c>
      <c r="B78" t="s">
        <v>6</v>
      </c>
    </row>
    <row r="79" spans="1:2" x14ac:dyDescent="0.25">
      <c r="A79" t="s">
        <v>49</v>
      </c>
      <c r="B79" t="s">
        <v>85</v>
      </c>
    </row>
    <row r="80" spans="1:2" x14ac:dyDescent="0.25">
      <c r="A80" t="s">
        <v>17</v>
      </c>
      <c r="B80" t="s">
        <v>15</v>
      </c>
    </row>
    <row r="81" spans="1:2" x14ac:dyDescent="0.25">
      <c r="A81" t="s">
        <v>17</v>
      </c>
      <c r="B81" t="s">
        <v>15</v>
      </c>
    </row>
    <row r="82" spans="1:2" x14ac:dyDescent="0.25">
      <c r="A82" t="s">
        <v>17</v>
      </c>
      <c r="B82" t="s">
        <v>15</v>
      </c>
    </row>
    <row r="83" spans="1:2" x14ac:dyDescent="0.25">
      <c r="A83" t="s">
        <v>17</v>
      </c>
      <c r="B83" t="s">
        <v>15</v>
      </c>
    </row>
    <row r="84" spans="1:2" x14ac:dyDescent="0.25">
      <c r="A84" t="s">
        <v>17</v>
      </c>
      <c r="B84" t="s">
        <v>15</v>
      </c>
    </row>
    <row r="85" spans="1:2" x14ac:dyDescent="0.25">
      <c r="A85" t="s">
        <v>17</v>
      </c>
      <c r="B85" t="s">
        <v>15</v>
      </c>
    </row>
    <row r="86" spans="1:2" x14ac:dyDescent="0.25">
      <c r="A86" t="s">
        <v>17</v>
      </c>
      <c r="B86" t="s">
        <v>15</v>
      </c>
    </row>
    <row r="87" spans="1:2" x14ac:dyDescent="0.25">
      <c r="A87" t="s">
        <v>17</v>
      </c>
      <c r="B87" t="s">
        <v>15</v>
      </c>
    </row>
    <row r="88" spans="1:2" x14ac:dyDescent="0.25">
      <c r="A88" t="s">
        <v>19</v>
      </c>
      <c r="B88" t="s">
        <v>85</v>
      </c>
    </row>
    <row r="89" spans="1:2" x14ac:dyDescent="0.25">
      <c r="A89" t="s">
        <v>13</v>
      </c>
      <c r="B89" t="s">
        <v>85</v>
      </c>
    </row>
    <row r="90" spans="1:2" x14ac:dyDescent="0.25">
      <c r="A90" t="s">
        <v>38</v>
      </c>
      <c r="B90" t="s">
        <v>85</v>
      </c>
    </row>
    <row r="91" spans="1:2" x14ac:dyDescent="0.25">
      <c r="A91" t="s">
        <v>38</v>
      </c>
      <c r="B91" t="s">
        <v>85</v>
      </c>
    </row>
    <row r="92" spans="1:2" x14ac:dyDescent="0.25">
      <c r="A92" t="s">
        <v>38</v>
      </c>
      <c r="B92" t="s">
        <v>85</v>
      </c>
    </row>
    <row r="93" spans="1:2" x14ac:dyDescent="0.25">
      <c r="A93" t="s">
        <v>22</v>
      </c>
      <c r="B93" t="s">
        <v>85</v>
      </c>
    </row>
    <row r="94" spans="1:2" x14ac:dyDescent="0.25">
      <c r="A94" t="s">
        <v>22</v>
      </c>
      <c r="B94" t="s">
        <v>85</v>
      </c>
    </row>
    <row r="95" spans="1:2" x14ac:dyDescent="0.25">
      <c r="A95" t="s">
        <v>47</v>
      </c>
      <c r="B95" t="s">
        <v>47</v>
      </c>
    </row>
    <row r="96" spans="1:2" x14ac:dyDescent="0.25">
      <c r="A96" t="s">
        <v>15</v>
      </c>
      <c r="B96" t="s">
        <v>15</v>
      </c>
    </row>
    <row r="97" spans="1:2" x14ac:dyDescent="0.25">
      <c r="A97" t="s">
        <v>15</v>
      </c>
      <c r="B97" t="s">
        <v>15</v>
      </c>
    </row>
    <row r="98" spans="1:2" x14ac:dyDescent="0.25">
      <c r="A98" t="s">
        <v>15</v>
      </c>
      <c r="B98" t="s">
        <v>15</v>
      </c>
    </row>
    <row r="99" spans="1:2" x14ac:dyDescent="0.25">
      <c r="A99" t="s">
        <v>15</v>
      </c>
      <c r="B99" t="s">
        <v>15</v>
      </c>
    </row>
    <row r="100" spans="1:2" x14ac:dyDescent="0.25">
      <c r="A100" t="s">
        <v>15</v>
      </c>
      <c r="B100" t="s">
        <v>15</v>
      </c>
    </row>
    <row r="101" spans="1:2" x14ac:dyDescent="0.25">
      <c r="A101" t="s">
        <v>15</v>
      </c>
      <c r="B101" t="s">
        <v>15</v>
      </c>
    </row>
    <row r="102" spans="1:2" x14ac:dyDescent="0.25">
      <c r="A102" t="s">
        <v>15</v>
      </c>
      <c r="B102" t="s">
        <v>15</v>
      </c>
    </row>
    <row r="103" spans="1:2" x14ac:dyDescent="0.25">
      <c r="A103" t="s">
        <v>15</v>
      </c>
      <c r="B103" t="s">
        <v>15</v>
      </c>
    </row>
    <row r="104" spans="1:2" x14ac:dyDescent="0.25">
      <c r="A104" t="s">
        <v>15</v>
      </c>
      <c r="B104" t="s">
        <v>15</v>
      </c>
    </row>
    <row r="105" spans="1:2" x14ac:dyDescent="0.25">
      <c r="A105" t="s">
        <v>15</v>
      </c>
      <c r="B105" t="s">
        <v>15</v>
      </c>
    </row>
    <row r="106" spans="1:2" x14ac:dyDescent="0.25">
      <c r="A106" t="s">
        <v>15</v>
      </c>
      <c r="B106" t="s">
        <v>15</v>
      </c>
    </row>
    <row r="107" spans="1:2" x14ac:dyDescent="0.25">
      <c r="A107" t="s">
        <v>15</v>
      </c>
      <c r="B107" t="s">
        <v>15</v>
      </c>
    </row>
    <row r="108" spans="1:2" x14ac:dyDescent="0.25">
      <c r="A108" t="s">
        <v>15</v>
      </c>
      <c r="B108" t="s">
        <v>15</v>
      </c>
    </row>
    <row r="109" spans="1:2" x14ac:dyDescent="0.25">
      <c r="A109" t="s">
        <v>15</v>
      </c>
      <c r="B109" t="s">
        <v>15</v>
      </c>
    </row>
    <row r="110" spans="1:2" x14ac:dyDescent="0.25">
      <c r="A110" t="s">
        <v>15</v>
      </c>
      <c r="B110" t="s">
        <v>15</v>
      </c>
    </row>
    <row r="111" spans="1:2" x14ac:dyDescent="0.25">
      <c r="A111" t="s">
        <v>15</v>
      </c>
      <c r="B111" t="s">
        <v>15</v>
      </c>
    </row>
    <row r="112" spans="1:2" x14ac:dyDescent="0.25">
      <c r="A112" t="s">
        <v>15</v>
      </c>
      <c r="B112" t="s">
        <v>15</v>
      </c>
    </row>
    <row r="113" spans="1:2" x14ac:dyDescent="0.25">
      <c r="A113" t="s">
        <v>15</v>
      </c>
      <c r="B113" t="s">
        <v>15</v>
      </c>
    </row>
    <row r="114" spans="1:2" x14ac:dyDescent="0.25">
      <c r="A114" t="s">
        <v>15</v>
      </c>
      <c r="B114" t="s">
        <v>15</v>
      </c>
    </row>
    <row r="115" spans="1:2" x14ac:dyDescent="0.25">
      <c r="A115" t="s">
        <v>15</v>
      </c>
      <c r="B115" t="s">
        <v>15</v>
      </c>
    </row>
    <row r="116" spans="1:2" x14ac:dyDescent="0.25">
      <c r="A116" t="s">
        <v>15</v>
      </c>
      <c r="B116" t="s">
        <v>15</v>
      </c>
    </row>
    <row r="117" spans="1:2" x14ac:dyDescent="0.25">
      <c r="A117" t="s">
        <v>15</v>
      </c>
      <c r="B117" t="s">
        <v>15</v>
      </c>
    </row>
    <row r="118" spans="1:2" x14ac:dyDescent="0.25">
      <c r="A118" t="s">
        <v>15</v>
      </c>
      <c r="B118" t="s">
        <v>15</v>
      </c>
    </row>
    <row r="119" spans="1:2" x14ac:dyDescent="0.25">
      <c r="A119" t="s">
        <v>15</v>
      </c>
      <c r="B119" t="s">
        <v>15</v>
      </c>
    </row>
    <row r="120" spans="1:2" x14ac:dyDescent="0.25">
      <c r="A120" t="s">
        <v>15</v>
      </c>
      <c r="B120" t="s">
        <v>15</v>
      </c>
    </row>
    <row r="121" spans="1:2" x14ac:dyDescent="0.25">
      <c r="A121" t="s">
        <v>15</v>
      </c>
      <c r="B121" t="s">
        <v>15</v>
      </c>
    </row>
    <row r="122" spans="1:2" x14ac:dyDescent="0.25">
      <c r="A122" t="s">
        <v>15</v>
      </c>
      <c r="B122" t="s">
        <v>15</v>
      </c>
    </row>
    <row r="123" spans="1:2" x14ac:dyDescent="0.25">
      <c r="A123" t="s">
        <v>15</v>
      </c>
      <c r="B123" t="s">
        <v>15</v>
      </c>
    </row>
    <row r="124" spans="1:2" x14ac:dyDescent="0.25">
      <c r="A124" t="s">
        <v>15</v>
      </c>
      <c r="B124" t="s">
        <v>15</v>
      </c>
    </row>
    <row r="125" spans="1:2" x14ac:dyDescent="0.25">
      <c r="A125" t="s">
        <v>15</v>
      </c>
      <c r="B125" t="s">
        <v>15</v>
      </c>
    </row>
    <row r="126" spans="1:2" x14ac:dyDescent="0.25">
      <c r="A126" t="s">
        <v>15</v>
      </c>
      <c r="B126" t="s">
        <v>15</v>
      </c>
    </row>
    <row r="127" spans="1:2" x14ac:dyDescent="0.25">
      <c r="A127" t="s">
        <v>15</v>
      </c>
      <c r="B127" t="s">
        <v>15</v>
      </c>
    </row>
    <row r="128" spans="1:2" x14ac:dyDescent="0.25">
      <c r="A128" t="s">
        <v>15</v>
      </c>
      <c r="B128" t="s">
        <v>15</v>
      </c>
    </row>
    <row r="129" spans="1:2" x14ac:dyDescent="0.25">
      <c r="A129" t="s">
        <v>15</v>
      </c>
      <c r="B129" t="s">
        <v>15</v>
      </c>
    </row>
    <row r="130" spans="1:2" x14ac:dyDescent="0.25">
      <c r="A130" t="s">
        <v>15</v>
      </c>
      <c r="B130" t="s">
        <v>15</v>
      </c>
    </row>
    <row r="131" spans="1:2" x14ac:dyDescent="0.25">
      <c r="A131" t="s">
        <v>15</v>
      </c>
      <c r="B131" t="s">
        <v>15</v>
      </c>
    </row>
    <row r="132" spans="1:2" x14ac:dyDescent="0.25">
      <c r="A132" t="s">
        <v>15</v>
      </c>
      <c r="B132" t="s">
        <v>15</v>
      </c>
    </row>
    <row r="133" spans="1:2" x14ac:dyDescent="0.25">
      <c r="A133" t="s">
        <v>15</v>
      </c>
      <c r="B133" t="s">
        <v>15</v>
      </c>
    </row>
    <row r="134" spans="1:2" x14ac:dyDescent="0.25">
      <c r="A134" t="s">
        <v>15</v>
      </c>
      <c r="B134" t="s">
        <v>15</v>
      </c>
    </row>
    <row r="135" spans="1:2" x14ac:dyDescent="0.25">
      <c r="A135" t="s">
        <v>15</v>
      </c>
      <c r="B135" t="s">
        <v>15</v>
      </c>
    </row>
    <row r="136" spans="1:2" x14ac:dyDescent="0.25">
      <c r="A136" t="s">
        <v>15</v>
      </c>
      <c r="B136" t="s">
        <v>15</v>
      </c>
    </row>
    <row r="137" spans="1:2" x14ac:dyDescent="0.25">
      <c r="A137" t="s">
        <v>15</v>
      </c>
      <c r="B137" t="s">
        <v>15</v>
      </c>
    </row>
    <row r="138" spans="1:2" x14ac:dyDescent="0.25">
      <c r="A138" t="s">
        <v>15</v>
      </c>
      <c r="B138" t="s">
        <v>15</v>
      </c>
    </row>
    <row r="139" spans="1:2" x14ac:dyDescent="0.25">
      <c r="A139" t="s">
        <v>15</v>
      </c>
      <c r="B139" t="s">
        <v>15</v>
      </c>
    </row>
    <row r="140" spans="1:2" x14ac:dyDescent="0.25">
      <c r="A140" t="s">
        <v>15</v>
      </c>
      <c r="B140" t="s">
        <v>15</v>
      </c>
    </row>
    <row r="141" spans="1:2" x14ac:dyDescent="0.25">
      <c r="A141" t="s">
        <v>15</v>
      </c>
      <c r="B141" t="s">
        <v>15</v>
      </c>
    </row>
    <row r="142" spans="1:2" x14ac:dyDescent="0.25">
      <c r="A142" t="s">
        <v>15</v>
      </c>
      <c r="B142" t="s">
        <v>15</v>
      </c>
    </row>
    <row r="143" spans="1:2" x14ac:dyDescent="0.25">
      <c r="A143" t="s">
        <v>15</v>
      </c>
      <c r="B143" t="s">
        <v>15</v>
      </c>
    </row>
    <row r="144" spans="1:2" x14ac:dyDescent="0.25">
      <c r="A144" t="s">
        <v>15</v>
      </c>
      <c r="B144" t="s">
        <v>15</v>
      </c>
    </row>
    <row r="145" spans="1:2" x14ac:dyDescent="0.25">
      <c r="A145" t="s">
        <v>15</v>
      </c>
      <c r="B145" t="s">
        <v>15</v>
      </c>
    </row>
    <row r="146" spans="1:2" x14ac:dyDescent="0.25">
      <c r="A146" t="s">
        <v>15</v>
      </c>
      <c r="B146" t="s">
        <v>15</v>
      </c>
    </row>
    <row r="147" spans="1:2" x14ac:dyDescent="0.25">
      <c r="A147" t="s">
        <v>15</v>
      </c>
      <c r="B147" t="s">
        <v>15</v>
      </c>
    </row>
    <row r="148" spans="1:2" x14ac:dyDescent="0.25">
      <c r="A148" t="s">
        <v>15</v>
      </c>
      <c r="B148" t="s">
        <v>15</v>
      </c>
    </row>
    <row r="149" spans="1:2" x14ac:dyDescent="0.25">
      <c r="A149" t="s">
        <v>15</v>
      </c>
      <c r="B149" t="s">
        <v>15</v>
      </c>
    </row>
    <row r="150" spans="1:2" x14ac:dyDescent="0.25">
      <c r="A150" t="s">
        <v>15</v>
      </c>
      <c r="B150" t="s">
        <v>15</v>
      </c>
    </row>
    <row r="151" spans="1:2" x14ac:dyDescent="0.25">
      <c r="A151" t="s">
        <v>15</v>
      </c>
      <c r="B151" t="s">
        <v>15</v>
      </c>
    </row>
    <row r="152" spans="1:2" x14ac:dyDescent="0.25">
      <c r="A152" t="s">
        <v>15</v>
      </c>
      <c r="B152" t="s">
        <v>15</v>
      </c>
    </row>
    <row r="153" spans="1:2" x14ac:dyDescent="0.25">
      <c r="A153" t="s">
        <v>15</v>
      </c>
      <c r="B153" t="s">
        <v>15</v>
      </c>
    </row>
    <row r="154" spans="1:2" x14ac:dyDescent="0.25">
      <c r="A154" t="s">
        <v>15</v>
      </c>
      <c r="B154" t="s">
        <v>15</v>
      </c>
    </row>
    <row r="155" spans="1:2" x14ac:dyDescent="0.25">
      <c r="A155" t="s">
        <v>15</v>
      </c>
      <c r="B155" t="s">
        <v>15</v>
      </c>
    </row>
    <row r="156" spans="1:2" x14ac:dyDescent="0.25">
      <c r="A156" t="s">
        <v>48</v>
      </c>
      <c r="B156" t="s">
        <v>85</v>
      </c>
    </row>
    <row r="157" spans="1:2" x14ac:dyDescent="0.25">
      <c r="A157" t="s">
        <v>44</v>
      </c>
      <c r="B157" t="s">
        <v>44</v>
      </c>
    </row>
    <row r="158" spans="1:2" x14ac:dyDescent="0.25">
      <c r="A158" t="s">
        <v>44</v>
      </c>
      <c r="B158" t="s">
        <v>44</v>
      </c>
    </row>
    <row r="159" spans="1:2" x14ac:dyDescent="0.25">
      <c r="A159" t="s">
        <v>44</v>
      </c>
      <c r="B159" t="s">
        <v>44</v>
      </c>
    </row>
    <row r="160" spans="1:2" x14ac:dyDescent="0.25">
      <c r="A160" t="s">
        <v>50</v>
      </c>
      <c r="B160" t="s">
        <v>86</v>
      </c>
    </row>
    <row r="161" spans="1:2" x14ac:dyDescent="0.25">
      <c r="A161" t="s">
        <v>31</v>
      </c>
      <c r="B161" t="s">
        <v>6</v>
      </c>
    </row>
    <row r="162" spans="1:2" x14ac:dyDescent="0.25">
      <c r="A162" t="s">
        <v>27</v>
      </c>
      <c r="B162" t="s">
        <v>24</v>
      </c>
    </row>
    <row r="163" spans="1:2" x14ac:dyDescent="0.25">
      <c r="A163" t="s">
        <v>27</v>
      </c>
      <c r="B163" t="s">
        <v>24</v>
      </c>
    </row>
    <row r="164" spans="1:2" x14ac:dyDescent="0.25">
      <c r="A164" t="s">
        <v>27</v>
      </c>
      <c r="B164" t="s">
        <v>24</v>
      </c>
    </row>
    <row r="165" spans="1:2" x14ac:dyDescent="0.25">
      <c r="A165" t="s">
        <v>27</v>
      </c>
      <c r="B165" t="s">
        <v>24</v>
      </c>
    </row>
    <row r="166" spans="1:2" x14ac:dyDescent="0.25">
      <c r="A166" t="s">
        <v>27</v>
      </c>
      <c r="B166" t="s">
        <v>24</v>
      </c>
    </row>
    <row r="167" spans="1:2" x14ac:dyDescent="0.25">
      <c r="A167" t="s">
        <v>27</v>
      </c>
      <c r="B167" t="s">
        <v>24</v>
      </c>
    </row>
    <row r="168" spans="1:2" x14ac:dyDescent="0.25">
      <c r="A168" t="s">
        <v>27</v>
      </c>
      <c r="B168" t="s">
        <v>24</v>
      </c>
    </row>
    <row r="169" spans="1:2" x14ac:dyDescent="0.25">
      <c r="A169" t="s">
        <v>27</v>
      </c>
      <c r="B169" t="s">
        <v>24</v>
      </c>
    </row>
    <row r="170" spans="1:2" x14ac:dyDescent="0.25">
      <c r="A170" t="s">
        <v>27</v>
      </c>
      <c r="B170" t="s">
        <v>24</v>
      </c>
    </row>
    <row r="171" spans="1:2" x14ac:dyDescent="0.25">
      <c r="A171" t="s">
        <v>27</v>
      </c>
      <c r="B171" t="s">
        <v>24</v>
      </c>
    </row>
    <row r="172" spans="1:2" x14ac:dyDescent="0.25">
      <c r="A172" t="s">
        <v>27</v>
      </c>
      <c r="B172" t="s">
        <v>24</v>
      </c>
    </row>
    <row r="173" spans="1:2" x14ac:dyDescent="0.25">
      <c r="A173" t="s">
        <v>13</v>
      </c>
      <c r="B173" t="s">
        <v>85</v>
      </c>
    </row>
    <row r="174" spans="1:2" x14ac:dyDescent="0.25">
      <c r="A174" t="s">
        <v>13</v>
      </c>
      <c r="B174" t="s">
        <v>85</v>
      </c>
    </row>
    <row r="175" spans="1:2" x14ac:dyDescent="0.25">
      <c r="A175" t="s">
        <v>13</v>
      </c>
      <c r="B175" t="s">
        <v>85</v>
      </c>
    </row>
    <row r="176" spans="1:2" x14ac:dyDescent="0.25">
      <c r="A176" t="s">
        <v>13</v>
      </c>
      <c r="B176" t="s">
        <v>85</v>
      </c>
    </row>
    <row r="177" spans="1:2" x14ac:dyDescent="0.25">
      <c r="A177" t="s">
        <v>13</v>
      </c>
      <c r="B177" t="s">
        <v>85</v>
      </c>
    </row>
    <row r="178" spans="1:2" x14ac:dyDescent="0.25">
      <c r="A178" t="s">
        <v>13</v>
      </c>
      <c r="B178" t="s">
        <v>85</v>
      </c>
    </row>
    <row r="179" spans="1:2" x14ac:dyDescent="0.25">
      <c r="A179" t="s">
        <v>13</v>
      </c>
      <c r="B179" t="s">
        <v>85</v>
      </c>
    </row>
    <row r="180" spans="1:2" x14ac:dyDescent="0.25">
      <c r="A180" t="s">
        <v>13</v>
      </c>
      <c r="B180" t="s">
        <v>85</v>
      </c>
    </row>
    <row r="181" spans="1:2" x14ac:dyDescent="0.25">
      <c r="A181" t="s">
        <v>13</v>
      </c>
      <c r="B181" t="s">
        <v>85</v>
      </c>
    </row>
    <row r="182" spans="1:2" x14ac:dyDescent="0.25">
      <c r="A182" t="s">
        <v>13</v>
      </c>
      <c r="B182" t="s">
        <v>85</v>
      </c>
    </row>
    <row r="183" spans="1:2" x14ac:dyDescent="0.25">
      <c r="A183" t="s">
        <v>13</v>
      </c>
      <c r="B183" t="s">
        <v>85</v>
      </c>
    </row>
    <row r="184" spans="1:2" x14ac:dyDescent="0.25">
      <c r="A184" t="s">
        <v>13</v>
      </c>
      <c r="B184" t="s">
        <v>85</v>
      </c>
    </row>
    <row r="185" spans="1:2" x14ac:dyDescent="0.25">
      <c r="A185" t="s">
        <v>13</v>
      </c>
      <c r="B185" t="s">
        <v>85</v>
      </c>
    </row>
    <row r="186" spans="1:2" x14ac:dyDescent="0.25">
      <c r="A186" t="s">
        <v>13</v>
      </c>
      <c r="B186" t="s">
        <v>85</v>
      </c>
    </row>
    <row r="187" spans="1:2" x14ac:dyDescent="0.25">
      <c r="A187" t="s">
        <v>13</v>
      </c>
      <c r="B187" t="s">
        <v>85</v>
      </c>
    </row>
    <row r="188" spans="1:2" x14ac:dyDescent="0.25">
      <c r="A188" t="s">
        <v>13</v>
      </c>
      <c r="B188" t="s">
        <v>85</v>
      </c>
    </row>
    <row r="189" spans="1:2" x14ac:dyDescent="0.25">
      <c r="A189" t="s">
        <v>13</v>
      </c>
      <c r="B189" t="s">
        <v>85</v>
      </c>
    </row>
    <row r="190" spans="1:2" x14ac:dyDescent="0.25">
      <c r="A190" t="s">
        <v>13</v>
      </c>
      <c r="B190" t="s">
        <v>85</v>
      </c>
    </row>
    <row r="191" spans="1:2" x14ac:dyDescent="0.25">
      <c r="A191" t="s">
        <v>13</v>
      </c>
      <c r="B191" t="s">
        <v>85</v>
      </c>
    </row>
    <row r="192" spans="1:2" x14ac:dyDescent="0.25">
      <c r="A192" t="s">
        <v>13</v>
      </c>
      <c r="B192" t="s">
        <v>85</v>
      </c>
    </row>
    <row r="193" spans="1:2" x14ac:dyDescent="0.25">
      <c r="A193" t="s">
        <v>13</v>
      </c>
      <c r="B193" t="s">
        <v>85</v>
      </c>
    </row>
    <row r="194" spans="1:2" x14ac:dyDescent="0.25">
      <c r="A194" t="s">
        <v>13</v>
      </c>
      <c r="B194" t="s">
        <v>85</v>
      </c>
    </row>
    <row r="195" spans="1:2" x14ac:dyDescent="0.25">
      <c r="A195" t="s">
        <v>13</v>
      </c>
      <c r="B195" t="s">
        <v>85</v>
      </c>
    </row>
    <row r="196" spans="1:2" x14ac:dyDescent="0.25">
      <c r="A196" t="s">
        <v>13</v>
      </c>
      <c r="B196" t="s">
        <v>85</v>
      </c>
    </row>
    <row r="197" spans="1:2" x14ac:dyDescent="0.25">
      <c r="A197" t="s">
        <v>13</v>
      </c>
      <c r="B197" t="s">
        <v>85</v>
      </c>
    </row>
    <row r="198" spans="1:2" x14ac:dyDescent="0.25">
      <c r="A198" t="s">
        <v>13</v>
      </c>
      <c r="B198" t="s">
        <v>85</v>
      </c>
    </row>
    <row r="199" spans="1:2" x14ac:dyDescent="0.25">
      <c r="A199" t="s">
        <v>13</v>
      </c>
      <c r="B199" t="s">
        <v>85</v>
      </c>
    </row>
    <row r="200" spans="1:2" x14ac:dyDescent="0.25">
      <c r="A200" t="s">
        <v>13</v>
      </c>
      <c r="B200" t="s">
        <v>85</v>
      </c>
    </row>
    <row r="201" spans="1:2" x14ac:dyDescent="0.25">
      <c r="A201" t="s">
        <v>13</v>
      </c>
      <c r="B201" t="s">
        <v>85</v>
      </c>
    </row>
    <row r="202" spans="1:2" x14ac:dyDescent="0.25">
      <c r="A202" t="s">
        <v>13</v>
      </c>
      <c r="B202" t="s">
        <v>85</v>
      </c>
    </row>
    <row r="203" spans="1:2" x14ac:dyDescent="0.25">
      <c r="A203" t="s">
        <v>13</v>
      </c>
      <c r="B203" t="s">
        <v>85</v>
      </c>
    </row>
    <row r="204" spans="1:2" x14ac:dyDescent="0.25">
      <c r="A204" t="s">
        <v>28</v>
      </c>
      <c r="B204" t="s">
        <v>84</v>
      </c>
    </row>
    <row r="205" spans="1:2" x14ac:dyDescent="0.25">
      <c r="A205" t="s">
        <v>28</v>
      </c>
      <c r="B205" t="s">
        <v>84</v>
      </c>
    </row>
    <row r="206" spans="1:2" x14ac:dyDescent="0.25">
      <c r="A206" t="s">
        <v>28</v>
      </c>
      <c r="B206" t="s">
        <v>84</v>
      </c>
    </row>
    <row r="207" spans="1:2" x14ac:dyDescent="0.25">
      <c r="A207" t="s">
        <v>28</v>
      </c>
      <c r="B207" t="s">
        <v>84</v>
      </c>
    </row>
    <row r="208" spans="1:2" x14ac:dyDescent="0.25">
      <c r="A208" t="s">
        <v>53</v>
      </c>
      <c r="B208" t="s">
        <v>85</v>
      </c>
    </row>
    <row r="209" spans="1:2" x14ac:dyDescent="0.25">
      <c r="A209" t="s">
        <v>53</v>
      </c>
      <c r="B209" t="s">
        <v>85</v>
      </c>
    </row>
    <row r="210" spans="1:2" x14ac:dyDescent="0.25">
      <c r="A210" t="s">
        <v>12</v>
      </c>
      <c r="B210" t="s">
        <v>6</v>
      </c>
    </row>
    <row r="211" spans="1:2" x14ac:dyDescent="0.25">
      <c r="A211" t="s">
        <v>12</v>
      </c>
      <c r="B211" t="s">
        <v>6</v>
      </c>
    </row>
    <row r="212" spans="1:2" x14ac:dyDescent="0.25">
      <c r="A212" t="s">
        <v>12</v>
      </c>
      <c r="B212" t="s">
        <v>6</v>
      </c>
    </row>
    <row r="213" spans="1:2" x14ac:dyDescent="0.25">
      <c r="A213" t="s">
        <v>12</v>
      </c>
      <c r="B213" t="s">
        <v>6</v>
      </c>
    </row>
    <row r="214" spans="1:2" x14ac:dyDescent="0.25">
      <c r="A214" t="s">
        <v>12</v>
      </c>
      <c r="B214" t="s">
        <v>6</v>
      </c>
    </row>
    <row r="215" spans="1:2" x14ac:dyDescent="0.25">
      <c r="A215" t="s">
        <v>12</v>
      </c>
      <c r="B215" t="s">
        <v>6</v>
      </c>
    </row>
    <row r="216" spans="1:2" x14ac:dyDescent="0.25">
      <c r="A216" t="s">
        <v>12</v>
      </c>
      <c r="B216" t="s">
        <v>6</v>
      </c>
    </row>
    <row r="217" spans="1:2" x14ac:dyDescent="0.25">
      <c r="A217" t="s">
        <v>12</v>
      </c>
      <c r="B217" t="s">
        <v>6</v>
      </c>
    </row>
    <row r="218" spans="1:2" x14ac:dyDescent="0.25">
      <c r="A218" t="s">
        <v>12</v>
      </c>
      <c r="B218" t="s">
        <v>6</v>
      </c>
    </row>
    <row r="219" spans="1:2" x14ac:dyDescent="0.25">
      <c r="A219" t="s">
        <v>12</v>
      </c>
      <c r="B219" t="s">
        <v>6</v>
      </c>
    </row>
    <row r="220" spans="1:2" x14ac:dyDescent="0.25">
      <c r="A220" t="s">
        <v>12</v>
      </c>
      <c r="B220" t="s">
        <v>6</v>
      </c>
    </row>
    <row r="221" spans="1:2" x14ac:dyDescent="0.25">
      <c r="A221" t="s">
        <v>12</v>
      </c>
      <c r="B221" t="s">
        <v>6</v>
      </c>
    </row>
    <row r="222" spans="1:2" x14ac:dyDescent="0.25">
      <c r="A222" t="s">
        <v>12</v>
      </c>
      <c r="B222" t="s">
        <v>6</v>
      </c>
    </row>
    <row r="223" spans="1:2" x14ac:dyDescent="0.25">
      <c r="A223" t="s">
        <v>12</v>
      </c>
      <c r="B223" t="s">
        <v>6</v>
      </c>
    </row>
    <row r="224" spans="1:2" x14ac:dyDescent="0.25">
      <c r="A224" t="s">
        <v>12</v>
      </c>
      <c r="B224" t="s">
        <v>6</v>
      </c>
    </row>
    <row r="225" spans="1:2" x14ac:dyDescent="0.25">
      <c r="A225" t="s">
        <v>12</v>
      </c>
      <c r="B225" t="s">
        <v>6</v>
      </c>
    </row>
    <row r="226" spans="1:2" x14ac:dyDescent="0.25">
      <c r="A226" t="s">
        <v>12</v>
      </c>
      <c r="B226" t="s">
        <v>6</v>
      </c>
    </row>
    <row r="227" spans="1:2" x14ac:dyDescent="0.25">
      <c r="A227" t="s">
        <v>12</v>
      </c>
      <c r="B227" t="s">
        <v>6</v>
      </c>
    </row>
    <row r="228" spans="1:2" x14ac:dyDescent="0.25">
      <c r="A228" t="s">
        <v>12</v>
      </c>
      <c r="B228" t="s">
        <v>6</v>
      </c>
    </row>
    <row r="229" spans="1:2" x14ac:dyDescent="0.25">
      <c r="A229" t="s">
        <v>12</v>
      </c>
      <c r="B229" t="s">
        <v>6</v>
      </c>
    </row>
    <row r="230" spans="1:2" x14ac:dyDescent="0.25">
      <c r="A230" t="s">
        <v>12</v>
      </c>
      <c r="B230" t="s">
        <v>6</v>
      </c>
    </row>
    <row r="231" spans="1:2" x14ac:dyDescent="0.25">
      <c r="A231" t="s">
        <v>12</v>
      </c>
      <c r="B231" t="s">
        <v>6</v>
      </c>
    </row>
    <row r="232" spans="1:2" x14ac:dyDescent="0.25">
      <c r="A232" t="s">
        <v>12</v>
      </c>
      <c r="B232" t="s">
        <v>6</v>
      </c>
    </row>
    <row r="233" spans="1:2" x14ac:dyDescent="0.25">
      <c r="A233" t="s">
        <v>12</v>
      </c>
      <c r="B233" t="s">
        <v>6</v>
      </c>
    </row>
    <row r="234" spans="1:2" x14ac:dyDescent="0.25">
      <c r="A234" t="s">
        <v>29</v>
      </c>
      <c r="B234" t="s">
        <v>6</v>
      </c>
    </row>
    <row r="235" spans="1:2" x14ac:dyDescent="0.25">
      <c r="A235" t="s">
        <v>29</v>
      </c>
      <c r="B235" t="s">
        <v>6</v>
      </c>
    </row>
    <row r="236" spans="1:2" x14ac:dyDescent="0.25">
      <c r="A236" t="s">
        <v>29</v>
      </c>
      <c r="B236" t="s">
        <v>6</v>
      </c>
    </row>
    <row r="237" spans="1:2" x14ac:dyDescent="0.25">
      <c r="A237" t="s">
        <v>29</v>
      </c>
      <c r="B237" t="s">
        <v>6</v>
      </c>
    </row>
    <row r="238" spans="1:2" x14ac:dyDescent="0.25">
      <c r="A238" t="s">
        <v>29</v>
      </c>
      <c r="B238" t="s">
        <v>6</v>
      </c>
    </row>
    <row r="239" spans="1:2" x14ac:dyDescent="0.25">
      <c r="A239" t="s">
        <v>29</v>
      </c>
      <c r="B239" t="s">
        <v>6</v>
      </c>
    </row>
    <row r="240" spans="1:2" x14ac:dyDescent="0.25">
      <c r="A240" t="s">
        <v>29</v>
      </c>
      <c r="B240" t="s">
        <v>6</v>
      </c>
    </row>
    <row r="241" spans="1:2" x14ac:dyDescent="0.25">
      <c r="A241" t="s">
        <v>29</v>
      </c>
      <c r="B241" t="s">
        <v>6</v>
      </c>
    </row>
    <row r="242" spans="1:2" x14ac:dyDescent="0.25">
      <c r="A242" t="s">
        <v>25</v>
      </c>
      <c r="B242" t="s">
        <v>44</v>
      </c>
    </row>
    <row r="243" spans="1:2" x14ac:dyDescent="0.25">
      <c r="A243" t="s">
        <v>25</v>
      </c>
      <c r="B243" t="s">
        <v>44</v>
      </c>
    </row>
    <row r="244" spans="1:2" x14ac:dyDescent="0.25">
      <c r="A244" t="s">
        <v>25</v>
      </c>
      <c r="B244" t="s">
        <v>44</v>
      </c>
    </row>
    <row r="245" spans="1:2" x14ac:dyDescent="0.25">
      <c r="A245" t="s">
        <v>25</v>
      </c>
      <c r="B245" t="s">
        <v>44</v>
      </c>
    </row>
    <row r="246" spans="1:2" x14ac:dyDescent="0.25">
      <c r="A246" t="s">
        <v>25</v>
      </c>
      <c r="B246" t="s">
        <v>44</v>
      </c>
    </row>
    <row r="247" spans="1:2" x14ac:dyDescent="0.25">
      <c r="A247" t="s">
        <v>5</v>
      </c>
      <c r="B247" t="s">
        <v>6</v>
      </c>
    </row>
    <row r="248" spans="1:2" x14ac:dyDescent="0.25">
      <c r="A248" t="s">
        <v>5</v>
      </c>
      <c r="B248" t="s">
        <v>6</v>
      </c>
    </row>
    <row r="249" spans="1:2" x14ac:dyDescent="0.25">
      <c r="A249" t="s">
        <v>5</v>
      </c>
      <c r="B249" t="s">
        <v>6</v>
      </c>
    </row>
    <row r="250" spans="1:2" x14ac:dyDescent="0.25">
      <c r="A250" t="s">
        <v>5</v>
      </c>
      <c r="B250" t="s">
        <v>6</v>
      </c>
    </row>
    <row r="251" spans="1:2" x14ac:dyDescent="0.25">
      <c r="A251" t="s">
        <v>5</v>
      </c>
      <c r="B251" t="s">
        <v>6</v>
      </c>
    </row>
    <row r="252" spans="1:2" x14ac:dyDescent="0.25">
      <c r="A252" t="s">
        <v>5</v>
      </c>
      <c r="B252" t="s">
        <v>6</v>
      </c>
    </row>
    <row r="253" spans="1:2" x14ac:dyDescent="0.25">
      <c r="A253" t="s">
        <v>5</v>
      </c>
      <c r="B253" t="s">
        <v>6</v>
      </c>
    </row>
    <row r="254" spans="1:2" x14ac:dyDescent="0.25">
      <c r="A254" t="s">
        <v>5</v>
      </c>
      <c r="B254" t="s">
        <v>6</v>
      </c>
    </row>
    <row r="255" spans="1:2" x14ac:dyDescent="0.25">
      <c r="A255" t="s">
        <v>5</v>
      </c>
      <c r="B255" t="s">
        <v>6</v>
      </c>
    </row>
    <row r="256" spans="1:2" x14ac:dyDescent="0.25">
      <c r="A256" t="s">
        <v>5</v>
      </c>
      <c r="B256" t="s">
        <v>6</v>
      </c>
    </row>
    <row r="257" spans="1:2" x14ac:dyDescent="0.25">
      <c r="A257" t="s">
        <v>5</v>
      </c>
      <c r="B257" t="s">
        <v>6</v>
      </c>
    </row>
    <row r="258" spans="1:2" x14ac:dyDescent="0.25">
      <c r="A258" t="s">
        <v>5</v>
      </c>
      <c r="B258" t="s">
        <v>6</v>
      </c>
    </row>
    <row r="259" spans="1:2" x14ac:dyDescent="0.25">
      <c r="A259" t="s">
        <v>5</v>
      </c>
      <c r="B259" t="s">
        <v>6</v>
      </c>
    </row>
    <row r="260" spans="1:2" x14ac:dyDescent="0.25">
      <c r="A260" t="s">
        <v>5</v>
      </c>
      <c r="B260" t="s">
        <v>6</v>
      </c>
    </row>
    <row r="261" spans="1:2" x14ac:dyDescent="0.25">
      <c r="A261" t="s">
        <v>5</v>
      </c>
      <c r="B261" t="s">
        <v>6</v>
      </c>
    </row>
    <row r="262" spans="1:2" x14ac:dyDescent="0.25">
      <c r="A262" t="s">
        <v>5</v>
      </c>
      <c r="B262" t="s">
        <v>6</v>
      </c>
    </row>
    <row r="263" spans="1:2" x14ac:dyDescent="0.25">
      <c r="A263" t="s">
        <v>5</v>
      </c>
      <c r="B263" t="s">
        <v>6</v>
      </c>
    </row>
    <row r="264" spans="1:2" x14ac:dyDescent="0.25">
      <c r="A264" t="s">
        <v>5</v>
      </c>
      <c r="B264" t="s">
        <v>6</v>
      </c>
    </row>
    <row r="265" spans="1:2" x14ac:dyDescent="0.25">
      <c r="A265" t="s">
        <v>5</v>
      </c>
      <c r="B265" t="s">
        <v>6</v>
      </c>
    </row>
    <row r="266" spans="1:2" x14ac:dyDescent="0.25">
      <c r="A266" t="s">
        <v>5</v>
      </c>
      <c r="B266" t="s">
        <v>6</v>
      </c>
    </row>
    <row r="267" spans="1:2" x14ac:dyDescent="0.25">
      <c r="A267" t="s">
        <v>5</v>
      </c>
      <c r="B267" t="s">
        <v>6</v>
      </c>
    </row>
    <row r="268" spans="1:2" x14ac:dyDescent="0.25">
      <c r="A268" t="s">
        <v>5</v>
      </c>
      <c r="B268" t="s">
        <v>6</v>
      </c>
    </row>
    <row r="269" spans="1:2" x14ac:dyDescent="0.25">
      <c r="A269" t="s">
        <v>5</v>
      </c>
      <c r="B269" t="s">
        <v>6</v>
      </c>
    </row>
    <row r="270" spans="1:2" x14ac:dyDescent="0.25">
      <c r="A270" t="s">
        <v>5</v>
      </c>
      <c r="B270" t="s">
        <v>6</v>
      </c>
    </row>
    <row r="271" spans="1:2" x14ac:dyDescent="0.25">
      <c r="A271" t="s">
        <v>5</v>
      </c>
      <c r="B271" t="s">
        <v>6</v>
      </c>
    </row>
    <row r="272" spans="1:2" x14ac:dyDescent="0.25">
      <c r="A272" t="s">
        <v>5</v>
      </c>
      <c r="B272" t="s">
        <v>6</v>
      </c>
    </row>
    <row r="273" spans="1:2" x14ac:dyDescent="0.25">
      <c r="A273" t="s">
        <v>5</v>
      </c>
      <c r="B273" t="s">
        <v>6</v>
      </c>
    </row>
    <row r="274" spans="1:2" x14ac:dyDescent="0.25">
      <c r="A274" t="s">
        <v>5</v>
      </c>
      <c r="B274" t="s">
        <v>6</v>
      </c>
    </row>
    <row r="275" spans="1:2" x14ac:dyDescent="0.25">
      <c r="A275" t="s">
        <v>5</v>
      </c>
      <c r="B275" t="s">
        <v>6</v>
      </c>
    </row>
    <row r="276" spans="1:2" x14ac:dyDescent="0.25">
      <c r="A276" t="s">
        <v>5</v>
      </c>
      <c r="B276" t="s">
        <v>6</v>
      </c>
    </row>
    <row r="277" spans="1:2" x14ac:dyDescent="0.25">
      <c r="A277" t="s">
        <v>5</v>
      </c>
      <c r="B277" t="s">
        <v>6</v>
      </c>
    </row>
    <row r="278" spans="1:2" x14ac:dyDescent="0.25">
      <c r="A278" t="s">
        <v>5</v>
      </c>
      <c r="B278" t="s">
        <v>6</v>
      </c>
    </row>
    <row r="279" spans="1:2" x14ac:dyDescent="0.25">
      <c r="A279" t="s">
        <v>5</v>
      </c>
      <c r="B279" t="s">
        <v>6</v>
      </c>
    </row>
    <row r="280" spans="1:2" x14ac:dyDescent="0.25">
      <c r="A280" t="s">
        <v>5</v>
      </c>
      <c r="B280" t="s">
        <v>6</v>
      </c>
    </row>
    <row r="281" spans="1:2" x14ac:dyDescent="0.25">
      <c r="A281" t="s">
        <v>5</v>
      </c>
      <c r="B281" t="s">
        <v>6</v>
      </c>
    </row>
    <row r="282" spans="1:2" x14ac:dyDescent="0.25">
      <c r="A282" t="s">
        <v>5</v>
      </c>
      <c r="B282" t="s">
        <v>6</v>
      </c>
    </row>
    <row r="283" spans="1:2" x14ac:dyDescent="0.25">
      <c r="A283" t="s">
        <v>5</v>
      </c>
      <c r="B283" t="s">
        <v>6</v>
      </c>
    </row>
    <row r="284" spans="1:2" x14ac:dyDescent="0.25">
      <c r="A284" t="s">
        <v>5</v>
      </c>
      <c r="B284" t="s">
        <v>6</v>
      </c>
    </row>
    <row r="285" spans="1:2" x14ac:dyDescent="0.25">
      <c r="A285" t="s">
        <v>5</v>
      </c>
      <c r="B285" t="s">
        <v>6</v>
      </c>
    </row>
    <row r="286" spans="1:2" x14ac:dyDescent="0.25">
      <c r="A286" t="s">
        <v>5</v>
      </c>
      <c r="B286" t="s">
        <v>6</v>
      </c>
    </row>
    <row r="287" spans="1:2" x14ac:dyDescent="0.25">
      <c r="A287" t="s">
        <v>5</v>
      </c>
      <c r="B287" t="s">
        <v>6</v>
      </c>
    </row>
    <row r="288" spans="1:2" x14ac:dyDescent="0.25">
      <c r="A288" t="s">
        <v>5</v>
      </c>
      <c r="B288" t="s">
        <v>6</v>
      </c>
    </row>
    <row r="289" spans="1:2" x14ac:dyDescent="0.25">
      <c r="A289" t="s">
        <v>5</v>
      </c>
      <c r="B289" t="s">
        <v>6</v>
      </c>
    </row>
    <row r="290" spans="1:2" x14ac:dyDescent="0.25">
      <c r="A290" t="s">
        <v>5</v>
      </c>
      <c r="B290" t="s">
        <v>6</v>
      </c>
    </row>
    <row r="291" spans="1:2" x14ac:dyDescent="0.25">
      <c r="A291" t="s">
        <v>5</v>
      </c>
      <c r="B291" t="s">
        <v>6</v>
      </c>
    </row>
    <row r="292" spans="1:2" x14ac:dyDescent="0.25">
      <c r="A292" t="s">
        <v>5</v>
      </c>
      <c r="B292" t="s">
        <v>6</v>
      </c>
    </row>
    <row r="293" spans="1:2" x14ac:dyDescent="0.25">
      <c r="A293" t="s">
        <v>5</v>
      </c>
      <c r="B293" t="s">
        <v>6</v>
      </c>
    </row>
    <row r="294" spans="1:2" x14ac:dyDescent="0.25">
      <c r="A294" t="s">
        <v>5</v>
      </c>
      <c r="B294" t="s">
        <v>6</v>
      </c>
    </row>
    <row r="295" spans="1:2" x14ac:dyDescent="0.25">
      <c r="A295" t="s">
        <v>5</v>
      </c>
      <c r="B295" t="s">
        <v>6</v>
      </c>
    </row>
    <row r="296" spans="1:2" x14ac:dyDescent="0.25">
      <c r="A296" t="s">
        <v>5</v>
      </c>
      <c r="B296" t="s">
        <v>6</v>
      </c>
    </row>
    <row r="297" spans="1:2" x14ac:dyDescent="0.25">
      <c r="A297" t="s">
        <v>5</v>
      </c>
      <c r="B297" t="s">
        <v>6</v>
      </c>
    </row>
    <row r="298" spans="1:2" x14ac:dyDescent="0.25">
      <c r="A298" t="s">
        <v>5</v>
      </c>
      <c r="B298" t="s">
        <v>6</v>
      </c>
    </row>
    <row r="299" spans="1:2" x14ac:dyDescent="0.25">
      <c r="A299" t="s">
        <v>11</v>
      </c>
      <c r="B299" t="s">
        <v>15</v>
      </c>
    </row>
    <row r="300" spans="1:2" x14ac:dyDescent="0.25">
      <c r="A300" t="s">
        <v>11</v>
      </c>
      <c r="B300" t="s">
        <v>15</v>
      </c>
    </row>
    <row r="301" spans="1:2" x14ac:dyDescent="0.25">
      <c r="A301" t="s">
        <v>11</v>
      </c>
      <c r="B301" t="s">
        <v>15</v>
      </c>
    </row>
    <row r="302" spans="1:2" x14ac:dyDescent="0.25">
      <c r="A302" t="s">
        <v>11</v>
      </c>
      <c r="B302" t="s">
        <v>15</v>
      </c>
    </row>
    <row r="303" spans="1:2" x14ac:dyDescent="0.25">
      <c r="A303" t="s">
        <v>11</v>
      </c>
      <c r="B303" t="s">
        <v>15</v>
      </c>
    </row>
    <row r="304" spans="1:2" x14ac:dyDescent="0.25">
      <c r="A304" t="s">
        <v>11</v>
      </c>
      <c r="B304" t="s">
        <v>15</v>
      </c>
    </row>
    <row r="305" spans="1:2" x14ac:dyDescent="0.25">
      <c r="A305" t="s">
        <v>11</v>
      </c>
      <c r="B305" t="s">
        <v>15</v>
      </c>
    </row>
    <row r="306" spans="1:2" x14ac:dyDescent="0.25">
      <c r="A306" t="s">
        <v>11</v>
      </c>
      <c r="B306" t="s">
        <v>15</v>
      </c>
    </row>
    <row r="307" spans="1:2" x14ac:dyDescent="0.25">
      <c r="A307" t="s">
        <v>11</v>
      </c>
      <c r="B307" t="s">
        <v>15</v>
      </c>
    </row>
    <row r="308" spans="1:2" x14ac:dyDescent="0.25">
      <c r="A308" t="s">
        <v>11</v>
      </c>
      <c r="B308" t="s">
        <v>15</v>
      </c>
    </row>
    <row r="309" spans="1:2" x14ac:dyDescent="0.25">
      <c r="A309" t="s">
        <v>11</v>
      </c>
      <c r="B309" t="s">
        <v>15</v>
      </c>
    </row>
    <row r="310" spans="1:2" x14ac:dyDescent="0.25">
      <c r="A310" t="s">
        <v>11</v>
      </c>
      <c r="B310" t="s">
        <v>15</v>
      </c>
    </row>
    <row r="311" spans="1:2" x14ac:dyDescent="0.25">
      <c r="A311" t="s">
        <v>11</v>
      </c>
      <c r="B311" t="s">
        <v>15</v>
      </c>
    </row>
    <row r="312" spans="1:2" x14ac:dyDescent="0.25">
      <c r="A312" t="s">
        <v>11</v>
      </c>
      <c r="B312" t="s">
        <v>15</v>
      </c>
    </row>
    <row r="313" spans="1:2" x14ac:dyDescent="0.25">
      <c r="A313" t="s">
        <v>11</v>
      </c>
      <c r="B313" t="s">
        <v>15</v>
      </c>
    </row>
    <row r="314" spans="1:2" x14ac:dyDescent="0.25">
      <c r="A314" t="s">
        <v>11</v>
      </c>
      <c r="B314" t="s">
        <v>15</v>
      </c>
    </row>
    <row r="315" spans="1:2" x14ac:dyDescent="0.25">
      <c r="A315" t="s">
        <v>11</v>
      </c>
      <c r="B315" t="s">
        <v>15</v>
      </c>
    </row>
    <row r="316" spans="1:2" x14ac:dyDescent="0.25">
      <c r="A316" t="s">
        <v>11</v>
      </c>
      <c r="B316" t="s">
        <v>15</v>
      </c>
    </row>
    <row r="317" spans="1:2" x14ac:dyDescent="0.25">
      <c r="A317" t="s">
        <v>11</v>
      </c>
      <c r="B317" t="s">
        <v>15</v>
      </c>
    </row>
    <row r="318" spans="1:2" x14ac:dyDescent="0.25">
      <c r="A318" t="s">
        <v>11</v>
      </c>
      <c r="B318" t="s">
        <v>15</v>
      </c>
    </row>
    <row r="319" spans="1:2" x14ac:dyDescent="0.25">
      <c r="A319" t="s">
        <v>11</v>
      </c>
      <c r="B319" t="s">
        <v>15</v>
      </c>
    </row>
    <row r="320" spans="1:2" x14ac:dyDescent="0.25">
      <c r="A320" t="s">
        <v>11</v>
      </c>
      <c r="B320" t="s">
        <v>15</v>
      </c>
    </row>
    <row r="321" spans="1:2" x14ac:dyDescent="0.25">
      <c r="A321" t="s">
        <v>11</v>
      </c>
      <c r="B321" t="s">
        <v>15</v>
      </c>
    </row>
    <row r="322" spans="1:2" x14ac:dyDescent="0.25">
      <c r="A322" t="s">
        <v>11</v>
      </c>
      <c r="B322" t="s">
        <v>15</v>
      </c>
    </row>
    <row r="323" spans="1:2" x14ac:dyDescent="0.25">
      <c r="A323" t="s">
        <v>11</v>
      </c>
      <c r="B323" t="s">
        <v>15</v>
      </c>
    </row>
    <row r="324" spans="1:2" x14ac:dyDescent="0.25">
      <c r="A324" t="s">
        <v>11</v>
      </c>
      <c r="B324" t="s">
        <v>15</v>
      </c>
    </row>
    <row r="325" spans="1:2" x14ac:dyDescent="0.25">
      <c r="A325" t="s">
        <v>11</v>
      </c>
      <c r="B325" t="s">
        <v>15</v>
      </c>
    </row>
    <row r="326" spans="1:2" x14ac:dyDescent="0.25">
      <c r="A326" t="s">
        <v>11</v>
      </c>
      <c r="B326" t="s">
        <v>15</v>
      </c>
    </row>
    <row r="327" spans="1:2" x14ac:dyDescent="0.25">
      <c r="A327" t="s">
        <v>11</v>
      </c>
      <c r="B327" t="s">
        <v>15</v>
      </c>
    </row>
    <row r="328" spans="1:2" x14ac:dyDescent="0.25">
      <c r="A328" t="s">
        <v>11</v>
      </c>
      <c r="B328" t="s">
        <v>15</v>
      </c>
    </row>
    <row r="329" spans="1:2" x14ac:dyDescent="0.25">
      <c r="A329" t="s">
        <v>11</v>
      </c>
      <c r="B329" t="s">
        <v>15</v>
      </c>
    </row>
    <row r="330" spans="1:2" x14ac:dyDescent="0.25">
      <c r="A330" t="s">
        <v>11</v>
      </c>
      <c r="B330" t="s">
        <v>15</v>
      </c>
    </row>
    <row r="331" spans="1:2" x14ac:dyDescent="0.25">
      <c r="A331" t="s">
        <v>11</v>
      </c>
      <c r="B331" t="s">
        <v>15</v>
      </c>
    </row>
    <row r="332" spans="1:2" x14ac:dyDescent="0.25">
      <c r="A332" t="s">
        <v>11</v>
      </c>
      <c r="B332" t="s">
        <v>15</v>
      </c>
    </row>
    <row r="333" spans="1:2" x14ac:dyDescent="0.25">
      <c r="A333" t="s">
        <v>11</v>
      </c>
      <c r="B333" t="s">
        <v>15</v>
      </c>
    </row>
    <row r="334" spans="1:2" x14ac:dyDescent="0.25">
      <c r="A334" t="s">
        <v>11</v>
      </c>
      <c r="B334" t="s">
        <v>15</v>
      </c>
    </row>
    <row r="335" spans="1:2" x14ac:dyDescent="0.25">
      <c r="A335" t="s">
        <v>11</v>
      </c>
      <c r="B335" t="s">
        <v>15</v>
      </c>
    </row>
    <row r="336" spans="1:2" x14ac:dyDescent="0.25">
      <c r="A336" t="s">
        <v>11</v>
      </c>
      <c r="B336" t="s">
        <v>15</v>
      </c>
    </row>
    <row r="337" spans="1:2" x14ac:dyDescent="0.25">
      <c r="A337" t="s">
        <v>11</v>
      </c>
      <c r="B337" t="s">
        <v>15</v>
      </c>
    </row>
    <row r="338" spans="1:2" x14ac:dyDescent="0.25">
      <c r="A338" t="s">
        <v>11</v>
      </c>
      <c r="B338" t="s">
        <v>15</v>
      </c>
    </row>
    <row r="339" spans="1:2" x14ac:dyDescent="0.25">
      <c r="A339" t="s">
        <v>11</v>
      </c>
      <c r="B339" t="s">
        <v>15</v>
      </c>
    </row>
    <row r="340" spans="1:2" x14ac:dyDescent="0.25">
      <c r="A340" t="s">
        <v>11</v>
      </c>
      <c r="B340" t="s">
        <v>15</v>
      </c>
    </row>
    <row r="341" spans="1:2" x14ac:dyDescent="0.25">
      <c r="A341" t="s">
        <v>11</v>
      </c>
      <c r="B341" t="s">
        <v>15</v>
      </c>
    </row>
    <row r="342" spans="1:2" x14ac:dyDescent="0.25">
      <c r="A342" t="s">
        <v>35</v>
      </c>
      <c r="B342" t="s">
        <v>85</v>
      </c>
    </row>
    <row r="343" spans="1:2" x14ac:dyDescent="0.25">
      <c r="A343" t="s">
        <v>45</v>
      </c>
      <c r="B343" t="s">
        <v>85</v>
      </c>
    </row>
    <row r="344" spans="1:2" x14ac:dyDescent="0.25">
      <c r="A344" t="s">
        <v>45</v>
      </c>
      <c r="B344" t="s">
        <v>85</v>
      </c>
    </row>
    <row r="345" spans="1:2" x14ac:dyDescent="0.25">
      <c r="A345" t="s">
        <v>8</v>
      </c>
      <c r="B345" t="s">
        <v>6</v>
      </c>
    </row>
    <row r="346" spans="1:2" x14ac:dyDescent="0.25">
      <c r="A346" t="s">
        <v>8</v>
      </c>
      <c r="B346" t="s">
        <v>6</v>
      </c>
    </row>
    <row r="347" spans="1:2" x14ac:dyDescent="0.25">
      <c r="A347" t="s">
        <v>8</v>
      </c>
      <c r="B347" t="s">
        <v>6</v>
      </c>
    </row>
    <row r="348" spans="1:2" x14ac:dyDescent="0.25">
      <c r="A348" t="s">
        <v>8</v>
      </c>
      <c r="B348" t="s">
        <v>6</v>
      </c>
    </row>
    <row r="349" spans="1:2" x14ac:dyDescent="0.25">
      <c r="A349" t="s">
        <v>8</v>
      </c>
      <c r="B349" t="s">
        <v>6</v>
      </c>
    </row>
    <row r="350" spans="1:2" x14ac:dyDescent="0.25">
      <c r="A350" t="s">
        <v>8</v>
      </c>
      <c r="B350" t="s">
        <v>6</v>
      </c>
    </row>
    <row r="351" spans="1:2" x14ac:dyDescent="0.25">
      <c r="A351" t="s">
        <v>8</v>
      </c>
      <c r="B351" t="s">
        <v>6</v>
      </c>
    </row>
    <row r="352" spans="1:2" x14ac:dyDescent="0.25">
      <c r="A352" t="s">
        <v>8</v>
      </c>
      <c r="B352" t="s">
        <v>6</v>
      </c>
    </row>
    <row r="353" spans="1:2" x14ac:dyDescent="0.25">
      <c r="A353" t="s">
        <v>8</v>
      </c>
      <c r="B353" t="s">
        <v>6</v>
      </c>
    </row>
    <row r="354" spans="1:2" x14ac:dyDescent="0.25">
      <c r="A354" t="s">
        <v>8</v>
      </c>
      <c r="B354" t="s">
        <v>6</v>
      </c>
    </row>
    <row r="355" spans="1:2" x14ac:dyDescent="0.25">
      <c r="A355" t="s">
        <v>8</v>
      </c>
      <c r="B355" t="s">
        <v>6</v>
      </c>
    </row>
    <row r="356" spans="1:2" x14ac:dyDescent="0.25">
      <c r="A356" t="s">
        <v>8</v>
      </c>
      <c r="B356" t="s">
        <v>6</v>
      </c>
    </row>
    <row r="357" spans="1:2" x14ac:dyDescent="0.25">
      <c r="A357" t="s">
        <v>8</v>
      </c>
      <c r="B357" t="s">
        <v>6</v>
      </c>
    </row>
    <row r="358" spans="1:2" x14ac:dyDescent="0.25">
      <c r="A358" t="s">
        <v>8</v>
      </c>
      <c r="B358" t="s">
        <v>6</v>
      </c>
    </row>
    <row r="359" spans="1:2" x14ac:dyDescent="0.25">
      <c r="A359" t="s">
        <v>8</v>
      </c>
      <c r="B359" t="s">
        <v>6</v>
      </c>
    </row>
    <row r="360" spans="1:2" x14ac:dyDescent="0.25">
      <c r="A360" t="s">
        <v>8</v>
      </c>
      <c r="B360" t="s">
        <v>6</v>
      </c>
    </row>
    <row r="361" spans="1:2" x14ac:dyDescent="0.25">
      <c r="A361" t="s">
        <v>8</v>
      </c>
      <c r="B361" t="s">
        <v>6</v>
      </c>
    </row>
    <row r="362" spans="1:2" x14ac:dyDescent="0.25">
      <c r="A362" t="s">
        <v>8</v>
      </c>
      <c r="B362" t="s">
        <v>6</v>
      </c>
    </row>
    <row r="363" spans="1:2" x14ac:dyDescent="0.25">
      <c r="A363" t="s">
        <v>8</v>
      </c>
      <c r="B363" t="s">
        <v>6</v>
      </c>
    </row>
    <row r="364" spans="1:2" x14ac:dyDescent="0.25">
      <c r="A364" t="s">
        <v>8</v>
      </c>
      <c r="B364" t="s">
        <v>6</v>
      </c>
    </row>
    <row r="365" spans="1:2" x14ac:dyDescent="0.25">
      <c r="A365" t="s">
        <v>8</v>
      </c>
      <c r="B365" t="s">
        <v>6</v>
      </c>
    </row>
    <row r="366" spans="1:2" x14ac:dyDescent="0.25">
      <c r="A366" t="s">
        <v>8</v>
      </c>
      <c r="B366" t="s">
        <v>6</v>
      </c>
    </row>
    <row r="367" spans="1:2" x14ac:dyDescent="0.25">
      <c r="A367" t="s">
        <v>8</v>
      </c>
      <c r="B367" t="s">
        <v>6</v>
      </c>
    </row>
    <row r="368" spans="1:2" x14ac:dyDescent="0.25">
      <c r="A368" t="s">
        <v>21</v>
      </c>
      <c r="B368" t="s">
        <v>85</v>
      </c>
    </row>
    <row r="369" spans="1:2" x14ac:dyDescent="0.25">
      <c r="A369" t="s">
        <v>21</v>
      </c>
      <c r="B369" t="s">
        <v>85</v>
      </c>
    </row>
    <row r="370" spans="1:2" x14ac:dyDescent="0.25">
      <c r="A370" t="s">
        <v>26</v>
      </c>
      <c r="B370" t="s">
        <v>6</v>
      </c>
    </row>
    <row r="371" spans="1:2" x14ac:dyDescent="0.25">
      <c r="A371" t="s">
        <v>26</v>
      </c>
      <c r="B371" t="s">
        <v>6</v>
      </c>
    </row>
    <row r="372" spans="1:2" x14ac:dyDescent="0.25">
      <c r="A372" t="s">
        <v>26</v>
      </c>
      <c r="B372" t="s">
        <v>6</v>
      </c>
    </row>
    <row r="373" spans="1:2" x14ac:dyDescent="0.25">
      <c r="A373" t="s">
        <v>26</v>
      </c>
      <c r="B373" t="s">
        <v>6</v>
      </c>
    </row>
    <row r="374" spans="1:2" x14ac:dyDescent="0.25">
      <c r="A374" t="s">
        <v>26</v>
      </c>
      <c r="B374" t="s">
        <v>6</v>
      </c>
    </row>
    <row r="375" spans="1:2" x14ac:dyDescent="0.25">
      <c r="A375" t="s">
        <v>26</v>
      </c>
      <c r="B375" t="s">
        <v>6</v>
      </c>
    </row>
    <row r="376" spans="1:2" x14ac:dyDescent="0.25">
      <c r="A376" t="s">
        <v>26</v>
      </c>
      <c r="B376" t="s">
        <v>6</v>
      </c>
    </row>
    <row r="377" spans="1:2" x14ac:dyDescent="0.25">
      <c r="A377" t="s">
        <v>26</v>
      </c>
      <c r="B377" t="s">
        <v>6</v>
      </c>
    </row>
    <row r="378" spans="1:2" x14ac:dyDescent="0.25">
      <c r="A378" t="s">
        <v>26</v>
      </c>
      <c r="B378" t="s">
        <v>6</v>
      </c>
    </row>
    <row r="379" spans="1:2" x14ac:dyDescent="0.25">
      <c r="A379" t="s">
        <v>26</v>
      </c>
      <c r="B379" t="s">
        <v>6</v>
      </c>
    </row>
    <row r="380" spans="1:2" x14ac:dyDescent="0.25">
      <c r="A380" t="s">
        <v>26</v>
      </c>
      <c r="B380" t="s">
        <v>6</v>
      </c>
    </row>
    <row r="381" spans="1:2" x14ac:dyDescent="0.25">
      <c r="A381" t="s">
        <v>26</v>
      </c>
      <c r="B381" t="s">
        <v>6</v>
      </c>
    </row>
    <row r="382" spans="1:2" x14ac:dyDescent="0.25">
      <c r="A382" t="s">
        <v>26</v>
      </c>
      <c r="B382" t="s">
        <v>6</v>
      </c>
    </row>
    <row r="383" spans="1:2" x14ac:dyDescent="0.25">
      <c r="A383" t="s">
        <v>26</v>
      </c>
      <c r="B383" t="s">
        <v>6</v>
      </c>
    </row>
    <row r="384" spans="1:2" x14ac:dyDescent="0.25">
      <c r="A384" t="s">
        <v>26</v>
      </c>
      <c r="B384" t="s">
        <v>6</v>
      </c>
    </row>
    <row r="385" spans="1:2" x14ac:dyDescent="0.25">
      <c r="A385" t="s">
        <v>26</v>
      </c>
      <c r="B385" t="s">
        <v>6</v>
      </c>
    </row>
    <row r="386" spans="1:2" x14ac:dyDescent="0.25">
      <c r="A386" t="s">
        <v>26</v>
      </c>
      <c r="B386" t="s">
        <v>6</v>
      </c>
    </row>
    <row r="387" spans="1:2" x14ac:dyDescent="0.25">
      <c r="A387" t="s">
        <v>26</v>
      </c>
      <c r="B387" t="s">
        <v>6</v>
      </c>
    </row>
    <row r="388" spans="1:2" x14ac:dyDescent="0.25">
      <c r="A388" t="s">
        <v>26</v>
      </c>
      <c r="B388" t="s">
        <v>6</v>
      </c>
    </row>
    <row r="389" spans="1:2" x14ac:dyDescent="0.25">
      <c r="A389" t="s">
        <v>26</v>
      </c>
      <c r="B389" t="s">
        <v>6</v>
      </c>
    </row>
    <row r="390" spans="1:2" x14ac:dyDescent="0.25">
      <c r="A390" t="s">
        <v>26</v>
      </c>
      <c r="B390" t="s">
        <v>6</v>
      </c>
    </row>
    <row r="391" spans="1:2" x14ac:dyDescent="0.25">
      <c r="A391" t="s">
        <v>26</v>
      </c>
      <c r="B391" t="s">
        <v>6</v>
      </c>
    </row>
    <row r="392" spans="1:2" x14ac:dyDescent="0.25">
      <c r="A392" t="s">
        <v>26</v>
      </c>
      <c r="B392" t="s">
        <v>6</v>
      </c>
    </row>
    <row r="393" spans="1:2" x14ac:dyDescent="0.25">
      <c r="A393" t="s">
        <v>26</v>
      </c>
      <c r="B393" t="s">
        <v>6</v>
      </c>
    </row>
    <row r="394" spans="1:2" x14ac:dyDescent="0.25">
      <c r="A394" t="s">
        <v>26</v>
      </c>
      <c r="B394" t="s">
        <v>6</v>
      </c>
    </row>
    <row r="395" spans="1:2" x14ac:dyDescent="0.25">
      <c r="A395" t="s">
        <v>26</v>
      </c>
      <c r="B395" t="s">
        <v>6</v>
      </c>
    </row>
    <row r="396" spans="1:2" x14ac:dyDescent="0.25">
      <c r="A396" t="s">
        <v>26</v>
      </c>
      <c r="B396" t="s">
        <v>6</v>
      </c>
    </row>
    <row r="397" spans="1:2" x14ac:dyDescent="0.25">
      <c r="A397" t="s">
        <v>26</v>
      </c>
      <c r="B397" t="s">
        <v>6</v>
      </c>
    </row>
    <row r="398" spans="1:2" x14ac:dyDescent="0.25">
      <c r="A398" t="s">
        <v>26</v>
      </c>
      <c r="B398" t="s">
        <v>6</v>
      </c>
    </row>
    <row r="399" spans="1:2" x14ac:dyDescent="0.25">
      <c r="A399" t="s">
        <v>26</v>
      </c>
      <c r="B399" t="s">
        <v>6</v>
      </c>
    </row>
    <row r="400" spans="1:2" x14ac:dyDescent="0.25">
      <c r="A400" t="s">
        <v>26</v>
      </c>
      <c r="B400" t="s">
        <v>6</v>
      </c>
    </row>
    <row r="401" spans="1:2" x14ac:dyDescent="0.25">
      <c r="A401" t="s">
        <v>26</v>
      </c>
      <c r="B401" t="s">
        <v>6</v>
      </c>
    </row>
    <row r="402" spans="1:2" x14ac:dyDescent="0.25">
      <c r="A402" t="s">
        <v>26</v>
      </c>
      <c r="B402" t="s">
        <v>6</v>
      </c>
    </row>
    <row r="403" spans="1:2" x14ac:dyDescent="0.25">
      <c r="A403" t="s">
        <v>26</v>
      </c>
      <c r="B403" t="s">
        <v>6</v>
      </c>
    </row>
    <row r="404" spans="1:2" x14ac:dyDescent="0.25">
      <c r="A404" t="s">
        <v>26</v>
      </c>
      <c r="B404" t="s">
        <v>6</v>
      </c>
    </row>
    <row r="405" spans="1:2" x14ac:dyDescent="0.25">
      <c r="A405" t="s">
        <v>26</v>
      </c>
      <c r="B405" t="s">
        <v>6</v>
      </c>
    </row>
    <row r="406" spans="1:2" x14ac:dyDescent="0.25">
      <c r="A406" t="s">
        <v>26</v>
      </c>
      <c r="B406" t="s">
        <v>6</v>
      </c>
    </row>
    <row r="407" spans="1:2" x14ac:dyDescent="0.25">
      <c r="A407" t="s">
        <v>26</v>
      </c>
      <c r="B407" t="s">
        <v>6</v>
      </c>
    </row>
    <row r="408" spans="1:2" x14ac:dyDescent="0.25">
      <c r="A408" t="s">
        <v>26</v>
      </c>
      <c r="B408" t="s">
        <v>6</v>
      </c>
    </row>
    <row r="409" spans="1:2" x14ac:dyDescent="0.25">
      <c r="A409" t="s">
        <v>26</v>
      </c>
      <c r="B409" t="s">
        <v>6</v>
      </c>
    </row>
    <row r="410" spans="1:2" x14ac:dyDescent="0.25">
      <c r="A410" t="s">
        <v>26</v>
      </c>
      <c r="B410" t="s">
        <v>6</v>
      </c>
    </row>
    <row r="411" spans="1:2" x14ac:dyDescent="0.25">
      <c r="A411" t="s">
        <v>26</v>
      </c>
      <c r="B411" t="s">
        <v>6</v>
      </c>
    </row>
    <row r="412" spans="1:2" x14ac:dyDescent="0.25">
      <c r="A412" t="s">
        <v>26</v>
      </c>
      <c r="B412" t="s">
        <v>6</v>
      </c>
    </row>
    <row r="413" spans="1:2" x14ac:dyDescent="0.25">
      <c r="A413" t="s">
        <v>26</v>
      </c>
      <c r="B413" t="s">
        <v>6</v>
      </c>
    </row>
    <row r="414" spans="1:2" x14ac:dyDescent="0.25">
      <c r="A414" t="s">
        <v>26</v>
      </c>
      <c r="B414" t="s">
        <v>6</v>
      </c>
    </row>
    <row r="415" spans="1:2" x14ac:dyDescent="0.25">
      <c r="A415" t="s">
        <v>26</v>
      </c>
      <c r="B415" t="s">
        <v>6</v>
      </c>
    </row>
    <row r="416" spans="1:2" x14ac:dyDescent="0.25">
      <c r="A416" t="s">
        <v>26</v>
      </c>
      <c r="B416" t="s">
        <v>6</v>
      </c>
    </row>
    <row r="417" spans="1:2" x14ac:dyDescent="0.25">
      <c r="A417" t="s">
        <v>26</v>
      </c>
      <c r="B417" t="s">
        <v>6</v>
      </c>
    </row>
    <row r="418" spans="1:2" x14ac:dyDescent="0.25">
      <c r="A418" t="s">
        <v>26</v>
      </c>
      <c r="B418" t="s">
        <v>6</v>
      </c>
    </row>
    <row r="419" spans="1:2" x14ac:dyDescent="0.25">
      <c r="A419" t="s">
        <v>10</v>
      </c>
      <c r="B419" t="s">
        <v>6</v>
      </c>
    </row>
    <row r="420" spans="1:2" x14ac:dyDescent="0.25">
      <c r="A420" t="s">
        <v>10</v>
      </c>
      <c r="B420" t="s">
        <v>6</v>
      </c>
    </row>
    <row r="421" spans="1:2" x14ac:dyDescent="0.25">
      <c r="A421" t="s">
        <v>10</v>
      </c>
      <c r="B421" t="s">
        <v>6</v>
      </c>
    </row>
    <row r="422" spans="1:2" x14ac:dyDescent="0.25">
      <c r="A422" t="s">
        <v>10</v>
      </c>
      <c r="B422" t="s">
        <v>6</v>
      </c>
    </row>
    <row r="423" spans="1:2" x14ac:dyDescent="0.25">
      <c r="A423" t="s">
        <v>10</v>
      </c>
      <c r="B423" t="s">
        <v>6</v>
      </c>
    </row>
    <row r="424" spans="1:2" x14ac:dyDescent="0.25">
      <c r="A424" t="s">
        <v>10</v>
      </c>
      <c r="B424" t="s">
        <v>6</v>
      </c>
    </row>
    <row r="425" spans="1:2" x14ac:dyDescent="0.25">
      <c r="A425" t="s">
        <v>10</v>
      </c>
      <c r="B425" t="s">
        <v>6</v>
      </c>
    </row>
    <row r="426" spans="1:2" x14ac:dyDescent="0.25">
      <c r="A426" t="s">
        <v>10</v>
      </c>
      <c r="B426" t="s">
        <v>6</v>
      </c>
    </row>
    <row r="427" spans="1:2" x14ac:dyDescent="0.25">
      <c r="A427" t="s">
        <v>10</v>
      </c>
      <c r="B427" t="s">
        <v>6</v>
      </c>
    </row>
    <row r="428" spans="1:2" x14ac:dyDescent="0.25">
      <c r="A428" t="s">
        <v>10</v>
      </c>
      <c r="B428" t="s">
        <v>6</v>
      </c>
    </row>
    <row r="429" spans="1:2" x14ac:dyDescent="0.25">
      <c r="A429" t="s">
        <v>10</v>
      </c>
      <c r="B429" t="s">
        <v>6</v>
      </c>
    </row>
    <row r="430" spans="1:2" x14ac:dyDescent="0.25">
      <c r="A430" t="s">
        <v>10</v>
      </c>
      <c r="B430" t="s">
        <v>6</v>
      </c>
    </row>
    <row r="431" spans="1:2" x14ac:dyDescent="0.25">
      <c r="A431" t="s">
        <v>10</v>
      </c>
      <c r="B431" t="s">
        <v>6</v>
      </c>
    </row>
    <row r="432" spans="1:2" x14ac:dyDescent="0.25">
      <c r="A432" t="s">
        <v>10</v>
      </c>
      <c r="B432" t="s">
        <v>6</v>
      </c>
    </row>
    <row r="433" spans="1:2" x14ac:dyDescent="0.25">
      <c r="A433" t="s">
        <v>10</v>
      </c>
      <c r="B433" t="s">
        <v>6</v>
      </c>
    </row>
    <row r="434" spans="1:2" x14ac:dyDescent="0.25">
      <c r="A434" t="s">
        <v>10</v>
      </c>
      <c r="B434" t="s">
        <v>6</v>
      </c>
    </row>
    <row r="435" spans="1:2" x14ac:dyDescent="0.25">
      <c r="A435" t="s">
        <v>10</v>
      </c>
      <c r="B435" t="s">
        <v>6</v>
      </c>
    </row>
    <row r="436" spans="1:2" x14ac:dyDescent="0.25">
      <c r="A436" t="s">
        <v>10</v>
      </c>
      <c r="B436" t="s">
        <v>6</v>
      </c>
    </row>
    <row r="437" spans="1:2" x14ac:dyDescent="0.25">
      <c r="A437" t="s">
        <v>10</v>
      </c>
      <c r="B437" t="s">
        <v>6</v>
      </c>
    </row>
    <row r="438" spans="1:2" x14ac:dyDescent="0.25">
      <c r="A438" t="s">
        <v>10</v>
      </c>
      <c r="B438" t="s">
        <v>6</v>
      </c>
    </row>
    <row r="439" spans="1:2" x14ac:dyDescent="0.25">
      <c r="A439" t="s">
        <v>10</v>
      </c>
      <c r="B439" t="s">
        <v>6</v>
      </c>
    </row>
    <row r="440" spans="1:2" x14ac:dyDescent="0.25">
      <c r="A440" t="s">
        <v>10</v>
      </c>
      <c r="B440" t="s">
        <v>6</v>
      </c>
    </row>
    <row r="441" spans="1:2" x14ac:dyDescent="0.25">
      <c r="A441" t="s">
        <v>10</v>
      </c>
      <c r="B441" t="s">
        <v>6</v>
      </c>
    </row>
    <row r="442" spans="1:2" x14ac:dyDescent="0.25">
      <c r="A442" t="s">
        <v>10</v>
      </c>
      <c r="B442" t="s">
        <v>6</v>
      </c>
    </row>
    <row r="443" spans="1:2" x14ac:dyDescent="0.25">
      <c r="A443" t="s">
        <v>10</v>
      </c>
      <c r="B443" t="s">
        <v>6</v>
      </c>
    </row>
    <row r="444" spans="1:2" x14ac:dyDescent="0.25">
      <c r="A444" t="s">
        <v>10</v>
      </c>
      <c r="B444" t="s">
        <v>6</v>
      </c>
    </row>
    <row r="445" spans="1:2" x14ac:dyDescent="0.25">
      <c r="A445" t="s">
        <v>10</v>
      </c>
      <c r="B445" t="s">
        <v>6</v>
      </c>
    </row>
    <row r="446" spans="1:2" x14ac:dyDescent="0.25">
      <c r="A446" t="s">
        <v>10</v>
      </c>
      <c r="B446" t="s">
        <v>6</v>
      </c>
    </row>
    <row r="447" spans="1:2" x14ac:dyDescent="0.25">
      <c r="A447" t="s">
        <v>10</v>
      </c>
      <c r="B447" t="s">
        <v>6</v>
      </c>
    </row>
    <row r="448" spans="1:2" x14ac:dyDescent="0.25">
      <c r="A448" t="s">
        <v>24</v>
      </c>
      <c r="B448" t="s">
        <v>24</v>
      </c>
    </row>
    <row r="449" spans="1:2" x14ac:dyDescent="0.25">
      <c r="A449" t="s">
        <v>24</v>
      </c>
      <c r="B449" t="s">
        <v>24</v>
      </c>
    </row>
    <row r="450" spans="1:2" x14ac:dyDescent="0.25">
      <c r="A450" t="s">
        <v>24</v>
      </c>
      <c r="B450" t="s">
        <v>24</v>
      </c>
    </row>
    <row r="451" spans="1:2" x14ac:dyDescent="0.25">
      <c r="A451" t="s">
        <v>24</v>
      </c>
      <c r="B451" t="s">
        <v>24</v>
      </c>
    </row>
    <row r="452" spans="1:2" x14ac:dyDescent="0.25">
      <c r="A452" t="s">
        <v>24</v>
      </c>
      <c r="B452" t="s">
        <v>24</v>
      </c>
    </row>
    <row r="453" spans="1:2" x14ac:dyDescent="0.25">
      <c r="A453" t="s">
        <v>24</v>
      </c>
      <c r="B453" t="s">
        <v>24</v>
      </c>
    </row>
    <row r="454" spans="1:2" x14ac:dyDescent="0.25">
      <c r="A454" t="s">
        <v>24</v>
      </c>
      <c r="B454" t="s">
        <v>24</v>
      </c>
    </row>
    <row r="455" spans="1:2" x14ac:dyDescent="0.25">
      <c r="A455" t="s">
        <v>24</v>
      </c>
      <c r="B455" t="s">
        <v>24</v>
      </c>
    </row>
    <row r="456" spans="1:2" x14ac:dyDescent="0.25">
      <c r="A456" t="s">
        <v>24</v>
      </c>
      <c r="B456" t="s">
        <v>24</v>
      </c>
    </row>
    <row r="457" spans="1:2" x14ac:dyDescent="0.25">
      <c r="A457" t="s">
        <v>6</v>
      </c>
      <c r="B457" t="s">
        <v>6</v>
      </c>
    </row>
    <row r="458" spans="1:2" x14ac:dyDescent="0.25">
      <c r="A458" t="s">
        <v>6</v>
      </c>
      <c r="B458" t="s">
        <v>6</v>
      </c>
    </row>
    <row r="459" spans="1:2" x14ac:dyDescent="0.25">
      <c r="A459" t="s">
        <v>6</v>
      </c>
      <c r="B459" t="s">
        <v>6</v>
      </c>
    </row>
    <row r="460" spans="1:2" x14ac:dyDescent="0.25">
      <c r="A460" t="s">
        <v>6</v>
      </c>
      <c r="B460" t="s">
        <v>6</v>
      </c>
    </row>
    <row r="461" spans="1:2" x14ac:dyDescent="0.25">
      <c r="A461" t="s">
        <v>6</v>
      </c>
      <c r="B461" t="s">
        <v>6</v>
      </c>
    </row>
    <row r="462" spans="1:2" x14ac:dyDescent="0.25">
      <c r="A462" t="s">
        <v>6</v>
      </c>
      <c r="B462" t="s">
        <v>6</v>
      </c>
    </row>
    <row r="463" spans="1:2" x14ac:dyDescent="0.25">
      <c r="A463" t="s">
        <v>6</v>
      </c>
      <c r="B463" t="s">
        <v>6</v>
      </c>
    </row>
    <row r="464" spans="1:2" x14ac:dyDescent="0.25">
      <c r="A464" t="s">
        <v>6</v>
      </c>
      <c r="B464" t="s">
        <v>6</v>
      </c>
    </row>
    <row r="465" spans="1:2" x14ac:dyDescent="0.25">
      <c r="A465" t="s">
        <v>6</v>
      </c>
      <c r="B465" t="s">
        <v>6</v>
      </c>
    </row>
    <row r="466" spans="1:2" x14ac:dyDescent="0.25">
      <c r="A466" t="s">
        <v>6</v>
      </c>
      <c r="B466" t="s">
        <v>6</v>
      </c>
    </row>
    <row r="467" spans="1:2" x14ac:dyDescent="0.25">
      <c r="A467" t="s">
        <v>6</v>
      </c>
      <c r="B467" t="s">
        <v>6</v>
      </c>
    </row>
    <row r="468" spans="1:2" x14ac:dyDescent="0.25">
      <c r="A468" t="s">
        <v>6</v>
      </c>
      <c r="B468" t="s">
        <v>6</v>
      </c>
    </row>
    <row r="469" spans="1:2" x14ac:dyDescent="0.25">
      <c r="A469" t="s">
        <v>6</v>
      </c>
      <c r="B469" t="s">
        <v>6</v>
      </c>
    </row>
    <row r="470" spans="1:2" x14ac:dyDescent="0.25">
      <c r="A470" t="s">
        <v>6</v>
      </c>
      <c r="B470" t="s">
        <v>6</v>
      </c>
    </row>
    <row r="471" spans="1:2" x14ac:dyDescent="0.25">
      <c r="A471" t="s">
        <v>6</v>
      </c>
      <c r="B471" t="s">
        <v>6</v>
      </c>
    </row>
    <row r="472" spans="1:2" x14ac:dyDescent="0.25">
      <c r="A472" t="s">
        <v>6</v>
      </c>
      <c r="B472" t="s">
        <v>6</v>
      </c>
    </row>
    <row r="473" spans="1:2" x14ac:dyDescent="0.25">
      <c r="A473" t="s">
        <v>6</v>
      </c>
      <c r="B473" t="s">
        <v>6</v>
      </c>
    </row>
    <row r="474" spans="1:2" x14ac:dyDescent="0.25">
      <c r="A474" t="s">
        <v>6</v>
      </c>
      <c r="B474" t="s">
        <v>6</v>
      </c>
    </row>
    <row r="475" spans="1:2" x14ac:dyDescent="0.25">
      <c r="A475" t="s">
        <v>6</v>
      </c>
      <c r="B475" t="s">
        <v>6</v>
      </c>
    </row>
    <row r="476" spans="1:2" x14ac:dyDescent="0.25">
      <c r="A476" t="s">
        <v>6</v>
      </c>
      <c r="B476" t="s">
        <v>6</v>
      </c>
    </row>
    <row r="477" spans="1:2" x14ac:dyDescent="0.25">
      <c r="A477" t="s">
        <v>6</v>
      </c>
      <c r="B477" t="s">
        <v>6</v>
      </c>
    </row>
    <row r="478" spans="1:2" x14ac:dyDescent="0.25">
      <c r="A478" t="s">
        <v>6</v>
      </c>
      <c r="B478" t="s">
        <v>6</v>
      </c>
    </row>
    <row r="479" spans="1:2" x14ac:dyDescent="0.25">
      <c r="A479" t="s">
        <v>6</v>
      </c>
      <c r="B479" t="s">
        <v>6</v>
      </c>
    </row>
    <row r="480" spans="1:2" x14ac:dyDescent="0.25">
      <c r="A480" t="s">
        <v>6</v>
      </c>
      <c r="B480" t="s">
        <v>6</v>
      </c>
    </row>
    <row r="481" spans="1:2" x14ac:dyDescent="0.25">
      <c r="A481" t="s">
        <v>6</v>
      </c>
      <c r="B481" t="s">
        <v>6</v>
      </c>
    </row>
    <row r="482" spans="1:2" x14ac:dyDescent="0.25">
      <c r="A482" t="s">
        <v>6</v>
      </c>
      <c r="B482" t="s">
        <v>6</v>
      </c>
    </row>
    <row r="483" spans="1:2" x14ac:dyDescent="0.25">
      <c r="A483" t="s">
        <v>6</v>
      </c>
      <c r="B483" t="s">
        <v>6</v>
      </c>
    </row>
    <row r="484" spans="1:2" x14ac:dyDescent="0.25">
      <c r="A484" t="s">
        <v>6</v>
      </c>
      <c r="B484" t="s">
        <v>6</v>
      </c>
    </row>
    <row r="485" spans="1:2" x14ac:dyDescent="0.25">
      <c r="A485" t="s">
        <v>6</v>
      </c>
      <c r="B485" t="s">
        <v>6</v>
      </c>
    </row>
    <row r="486" spans="1:2" x14ac:dyDescent="0.25">
      <c r="A486" t="s">
        <v>6</v>
      </c>
      <c r="B486" t="s">
        <v>6</v>
      </c>
    </row>
    <row r="487" spans="1:2" x14ac:dyDescent="0.25">
      <c r="A487" t="s">
        <v>6</v>
      </c>
      <c r="B487" t="s">
        <v>6</v>
      </c>
    </row>
    <row r="488" spans="1:2" x14ac:dyDescent="0.25">
      <c r="A488" t="s">
        <v>6</v>
      </c>
      <c r="B488" t="s">
        <v>6</v>
      </c>
    </row>
    <row r="489" spans="1:2" x14ac:dyDescent="0.25">
      <c r="A489" t="s">
        <v>6</v>
      </c>
      <c r="B489" t="s">
        <v>6</v>
      </c>
    </row>
    <row r="490" spans="1:2" x14ac:dyDescent="0.25">
      <c r="A490" t="s">
        <v>6</v>
      </c>
      <c r="B490" t="s">
        <v>6</v>
      </c>
    </row>
    <row r="491" spans="1:2" x14ac:dyDescent="0.25">
      <c r="A491" t="s">
        <v>6</v>
      </c>
      <c r="B491" t="s">
        <v>6</v>
      </c>
    </row>
    <row r="492" spans="1:2" x14ac:dyDescent="0.25">
      <c r="A492" t="s">
        <v>6</v>
      </c>
      <c r="B492" t="s">
        <v>6</v>
      </c>
    </row>
    <row r="493" spans="1:2" x14ac:dyDescent="0.25">
      <c r="A493" t="s">
        <v>6</v>
      </c>
      <c r="B493" t="s">
        <v>6</v>
      </c>
    </row>
    <row r="494" spans="1:2" x14ac:dyDescent="0.25">
      <c r="A494" t="s">
        <v>6</v>
      </c>
      <c r="B494" t="s">
        <v>6</v>
      </c>
    </row>
    <row r="495" spans="1:2" x14ac:dyDescent="0.25">
      <c r="A495" t="s">
        <v>34</v>
      </c>
      <c r="B495" t="s">
        <v>85</v>
      </c>
    </row>
    <row r="496" spans="1:2" x14ac:dyDescent="0.25">
      <c r="A496" t="s">
        <v>34</v>
      </c>
      <c r="B496" t="s">
        <v>85</v>
      </c>
    </row>
    <row r="497" spans="1:2" x14ac:dyDescent="0.25">
      <c r="A497" t="s">
        <v>20</v>
      </c>
      <c r="B497" t="s">
        <v>85</v>
      </c>
    </row>
    <row r="498" spans="1:2" x14ac:dyDescent="0.25">
      <c r="A498" t="s">
        <v>20</v>
      </c>
      <c r="B498" t="s">
        <v>85</v>
      </c>
    </row>
    <row r="499" spans="1:2" x14ac:dyDescent="0.25">
      <c r="A499" t="s">
        <v>20</v>
      </c>
      <c r="B499" t="s">
        <v>85</v>
      </c>
    </row>
    <row r="500" spans="1:2" x14ac:dyDescent="0.25">
      <c r="A500" t="s">
        <v>20</v>
      </c>
      <c r="B500" t="s">
        <v>85</v>
      </c>
    </row>
    <row r="501" spans="1:2" x14ac:dyDescent="0.25">
      <c r="A501" t="s">
        <v>20</v>
      </c>
      <c r="B501" t="s">
        <v>85</v>
      </c>
    </row>
    <row r="502" spans="1:2" x14ac:dyDescent="0.25">
      <c r="A502" t="s">
        <v>20</v>
      </c>
      <c r="B502" t="s">
        <v>85</v>
      </c>
    </row>
    <row r="503" spans="1:2" x14ac:dyDescent="0.25">
      <c r="A503" t="s">
        <v>20</v>
      </c>
      <c r="B503" t="s">
        <v>85</v>
      </c>
    </row>
    <row r="504" spans="1:2" x14ac:dyDescent="0.25">
      <c r="A504" t="s">
        <v>20</v>
      </c>
      <c r="B504" t="s">
        <v>85</v>
      </c>
    </row>
    <row r="505" spans="1:2" x14ac:dyDescent="0.25">
      <c r="A505" t="s">
        <v>20</v>
      </c>
      <c r="B505" t="s">
        <v>85</v>
      </c>
    </row>
    <row r="506" spans="1:2" x14ac:dyDescent="0.25">
      <c r="A506" t="s">
        <v>20</v>
      </c>
      <c r="B506" t="s">
        <v>85</v>
      </c>
    </row>
    <row r="507" spans="1:2" x14ac:dyDescent="0.25">
      <c r="A507" t="s">
        <v>20</v>
      </c>
      <c r="B507" t="s">
        <v>85</v>
      </c>
    </row>
    <row r="508" spans="1:2" x14ac:dyDescent="0.25">
      <c r="A508" t="s">
        <v>20</v>
      </c>
      <c r="B508" t="s">
        <v>85</v>
      </c>
    </row>
    <row r="509" spans="1:2" x14ac:dyDescent="0.25">
      <c r="A509" t="s">
        <v>20</v>
      </c>
      <c r="B509" t="s">
        <v>85</v>
      </c>
    </row>
    <row r="510" spans="1:2" x14ac:dyDescent="0.25">
      <c r="A510" t="s">
        <v>20</v>
      </c>
      <c r="B510" t="s">
        <v>85</v>
      </c>
    </row>
    <row r="511" spans="1:2" x14ac:dyDescent="0.25">
      <c r="A511" t="s">
        <v>20</v>
      </c>
      <c r="B511" t="s">
        <v>85</v>
      </c>
    </row>
    <row r="512" spans="1:2" x14ac:dyDescent="0.25">
      <c r="A512" t="s">
        <v>20</v>
      </c>
      <c r="B512" t="s">
        <v>85</v>
      </c>
    </row>
    <row r="513" spans="1:2" x14ac:dyDescent="0.25">
      <c r="A513" t="s">
        <v>20</v>
      </c>
      <c r="B513" t="s">
        <v>85</v>
      </c>
    </row>
    <row r="514" spans="1:2" x14ac:dyDescent="0.25">
      <c r="A514" t="s">
        <v>20</v>
      </c>
      <c r="B514" t="s">
        <v>85</v>
      </c>
    </row>
    <row r="515" spans="1:2" x14ac:dyDescent="0.25">
      <c r="A515" t="s">
        <v>30</v>
      </c>
      <c r="B515" t="s">
        <v>6</v>
      </c>
    </row>
    <row r="516" spans="1:2" x14ac:dyDescent="0.25">
      <c r="A516" t="s">
        <v>30</v>
      </c>
      <c r="B516" t="s">
        <v>6</v>
      </c>
    </row>
    <row r="517" spans="1:2" x14ac:dyDescent="0.25">
      <c r="A517" t="s">
        <v>30</v>
      </c>
      <c r="B517" t="s">
        <v>6</v>
      </c>
    </row>
    <row r="518" spans="1:2" x14ac:dyDescent="0.25">
      <c r="A518" t="s">
        <v>18</v>
      </c>
      <c r="B518" t="s">
        <v>85</v>
      </c>
    </row>
    <row r="519" spans="1:2" x14ac:dyDescent="0.25">
      <c r="A519" t="s">
        <v>18</v>
      </c>
      <c r="B519" t="s">
        <v>85</v>
      </c>
    </row>
    <row r="520" spans="1:2" x14ac:dyDescent="0.25">
      <c r="A520" t="s">
        <v>18</v>
      </c>
      <c r="B520" t="s">
        <v>85</v>
      </c>
    </row>
    <row r="521" spans="1:2" x14ac:dyDescent="0.25">
      <c r="A521" t="s">
        <v>33</v>
      </c>
      <c r="B521" t="s">
        <v>86</v>
      </c>
    </row>
    <row r="522" spans="1:2" x14ac:dyDescent="0.25">
      <c r="A522" t="s">
        <v>16</v>
      </c>
      <c r="B522" t="s">
        <v>83</v>
      </c>
    </row>
    <row r="523" spans="1:2" x14ac:dyDescent="0.25">
      <c r="A523" t="s">
        <v>16</v>
      </c>
      <c r="B523" t="s">
        <v>83</v>
      </c>
    </row>
    <row r="524" spans="1:2" x14ac:dyDescent="0.25">
      <c r="A524" t="s">
        <v>16</v>
      </c>
      <c r="B524" t="s">
        <v>83</v>
      </c>
    </row>
    <row r="525" spans="1:2" x14ac:dyDescent="0.25">
      <c r="A525" t="s">
        <v>16</v>
      </c>
      <c r="B525" t="s">
        <v>83</v>
      </c>
    </row>
    <row r="526" spans="1:2" x14ac:dyDescent="0.25">
      <c r="A526" t="s">
        <v>16</v>
      </c>
      <c r="B526" t="s">
        <v>83</v>
      </c>
    </row>
    <row r="527" spans="1:2" x14ac:dyDescent="0.25">
      <c r="A527" t="s">
        <v>16</v>
      </c>
      <c r="B527" t="s">
        <v>83</v>
      </c>
    </row>
    <row r="528" spans="1:2" x14ac:dyDescent="0.25">
      <c r="A528" t="s">
        <v>16</v>
      </c>
      <c r="B528" t="s">
        <v>83</v>
      </c>
    </row>
    <row r="529" spans="1:2" x14ac:dyDescent="0.25">
      <c r="A529" t="s">
        <v>16</v>
      </c>
      <c r="B529" t="s">
        <v>83</v>
      </c>
    </row>
    <row r="530" spans="1:2" x14ac:dyDescent="0.25">
      <c r="A530" t="s">
        <v>16</v>
      </c>
      <c r="B530" t="s">
        <v>83</v>
      </c>
    </row>
    <row r="531" spans="1:2" x14ac:dyDescent="0.25">
      <c r="A531" t="s">
        <v>16</v>
      </c>
      <c r="B531" t="s">
        <v>83</v>
      </c>
    </row>
    <row r="532" spans="1:2" x14ac:dyDescent="0.25">
      <c r="A532" t="s">
        <v>16</v>
      </c>
      <c r="B532" t="s">
        <v>83</v>
      </c>
    </row>
    <row r="533" spans="1:2" x14ac:dyDescent="0.25">
      <c r="A533" t="s">
        <v>16</v>
      </c>
      <c r="B533" t="s">
        <v>83</v>
      </c>
    </row>
    <row r="534" spans="1:2" x14ac:dyDescent="0.25">
      <c r="A534" t="s">
        <v>16</v>
      </c>
      <c r="B534" t="s">
        <v>83</v>
      </c>
    </row>
    <row r="535" spans="1:2" x14ac:dyDescent="0.25">
      <c r="A535" t="s">
        <v>16</v>
      </c>
      <c r="B535" t="s">
        <v>83</v>
      </c>
    </row>
    <row r="536" spans="1:2" x14ac:dyDescent="0.25">
      <c r="A536" t="s">
        <v>16</v>
      </c>
      <c r="B536" t="s">
        <v>83</v>
      </c>
    </row>
    <row r="537" spans="1:2" x14ac:dyDescent="0.25">
      <c r="A537" t="s">
        <v>16</v>
      </c>
      <c r="B537" t="s">
        <v>83</v>
      </c>
    </row>
    <row r="538" spans="1:2" x14ac:dyDescent="0.25">
      <c r="A538" t="s">
        <v>16</v>
      </c>
      <c r="B538" t="s">
        <v>83</v>
      </c>
    </row>
    <row r="539" spans="1:2" x14ac:dyDescent="0.25">
      <c r="A539" t="s">
        <v>16</v>
      </c>
      <c r="B539" t="s">
        <v>83</v>
      </c>
    </row>
    <row r="540" spans="1:2" x14ac:dyDescent="0.25">
      <c r="A540" t="s">
        <v>16</v>
      </c>
      <c r="B540" t="s">
        <v>83</v>
      </c>
    </row>
    <row r="541" spans="1:2" x14ac:dyDescent="0.25">
      <c r="A541" t="s">
        <v>16</v>
      </c>
      <c r="B541" t="s">
        <v>83</v>
      </c>
    </row>
    <row r="542" spans="1:2" x14ac:dyDescent="0.25">
      <c r="A542" t="s">
        <v>16</v>
      </c>
      <c r="B542" t="s">
        <v>83</v>
      </c>
    </row>
    <row r="543" spans="1:2" x14ac:dyDescent="0.25">
      <c r="A543" t="s">
        <v>16</v>
      </c>
      <c r="B543" t="s">
        <v>83</v>
      </c>
    </row>
    <row r="544" spans="1:2" x14ac:dyDescent="0.25">
      <c r="A544" t="s">
        <v>16</v>
      </c>
      <c r="B544" t="s">
        <v>83</v>
      </c>
    </row>
    <row r="545" spans="1:2" x14ac:dyDescent="0.25">
      <c r="A545" t="s">
        <v>16</v>
      </c>
      <c r="B545" t="s">
        <v>83</v>
      </c>
    </row>
    <row r="546" spans="1:2" x14ac:dyDescent="0.25">
      <c r="A546" t="s">
        <v>16</v>
      </c>
      <c r="B546" t="s">
        <v>83</v>
      </c>
    </row>
    <row r="547" spans="1:2" x14ac:dyDescent="0.25">
      <c r="A547" t="s">
        <v>14</v>
      </c>
      <c r="B547" t="s">
        <v>44</v>
      </c>
    </row>
    <row r="548" spans="1:2" x14ac:dyDescent="0.25">
      <c r="A548" t="s">
        <v>14</v>
      </c>
      <c r="B548" t="s">
        <v>44</v>
      </c>
    </row>
    <row r="549" spans="1:2" x14ac:dyDescent="0.25">
      <c r="A549" t="s">
        <v>14</v>
      </c>
      <c r="B549" t="s">
        <v>44</v>
      </c>
    </row>
    <row r="550" spans="1:2" x14ac:dyDescent="0.25">
      <c r="A550" t="s">
        <v>14</v>
      </c>
      <c r="B550" t="s">
        <v>44</v>
      </c>
    </row>
    <row r="551" spans="1:2" x14ac:dyDescent="0.25">
      <c r="A551" t="s">
        <v>14</v>
      </c>
      <c r="B551" t="s">
        <v>44</v>
      </c>
    </row>
    <row r="552" spans="1:2" x14ac:dyDescent="0.25">
      <c r="A552" t="s">
        <v>14</v>
      </c>
      <c r="B552" t="s">
        <v>44</v>
      </c>
    </row>
    <row r="553" spans="1:2" x14ac:dyDescent="0.25">
      <c r="A553" t="s">
        <v>14</v>
      </c>
      <c r="B553" t="s">
        <v>44</v>
      </c>
    </row>
    <row r="554" spans="1:2" x14ac:dyDescent="0.25">
      <c r="A554" t="s">
        <v>36</v>
      </c>
      <c r="B554" t="s">
        <v>6</v>
      </c>
    </row>
    <row r="555" spans="1:2" x14ac:dyDescent="0.25">
      <c r="A555" t="s">
        <v>36</v>
      </c>
      <c r="B555" t="s">
        <v>6</v>
      </c>
    </row>
    <row r="556" spans="1:2" x14ac:dyDescent="0.25">
      <c r="A556" t="s">
        <v>36</v>
      </c>
      <c r="B556" t="s">
        <v>6</v>
      </c>
    </row>
    <row r="557" spans="1:2" x14ac:dyDescent="0.25">
      <c r="A557" t="s">
        <v>36</v>
      </c>
      <c r="B557" t="s">
        <v>6</v>
      </c>
    </row>
    <row r="558" spans="1:2" x14ac:dyDescent="0.25">
      <c r="A558" t="s">
        <v>36</v>
      </c>
      <c r="B558" t="s">
        <v>6</v>
      </c>
    </row>
    <row r="559" spans="1:2" x14ac:dyDescent="0.25">
      <c r="A559" t="s">
        <v>36</v>
      </c>
      <c r="B559" t="s">
        <v>6</v>
      </c>
    </row>
    <row r="560" spans="1:2" x14ac:dyDescent="0.25">
      <c r="A560" t="s">
        <v>36</v>
      </c>
      <c r="B560" t="s">
        <v>6</v>
      </c>
    </row>
    <row r="561" spans="1:2" x14ac:dyDescent="0.25">
      <c r="A561" t="s">
        <v>36</v>
      </c>
      <c r="B561" t="s">
        <v>6</v>
      </c>
    </row>
    <row r="562" spans="1:2" x14ac:dyDescent="0.25">
      <c r="A562" t="s">
        <v>23</v>
      </c>
      <c r="B562" t="s">
        <v>15</v>
      </c>
    </row>
    <row r="563" spans="1:2" x14ac:dyDescent="0.25">
      <c r="A563" t="s">
        <v>23</v>
      </c>
      <c r="B563" t="s">
        <v>15</v>
      </c>
    </row>
    <row r="564" spans="1:2" x14ac:dyDescent="0.25">
      <c r="A564" t="s">
        <v>23</v>
      </c>
      <c r="B564" t="s">
        <v>15</v>
      </c>
    </row>
    <row r="565" spans="1:2" x14ac:dyDescent="0.25">
      <c r="A565" t="s">
        <v>23</v>
      </c>
      <c r="B565" t="s">
        <v>15</v>
      </c>
    </row>
    <row r="566" spans="1:2" x14ac:dyDescent="0.25">
      <c r="A566" t="s">
        <v>23</v>
      </c>
      <c r="B566" t="s">
        <v>15</v>
      </c>
    </row>
    <row r="567" spans="1:2" x14ac:dyDescent="0.25">
      <c r="A567" t="s">
        <v>23</v>
      </c>
      <c r="B567" t="s">
        <v>15</v>
      </c>
    </row>
    <row r="568" spans="1:2" x14ac:dyDescent="0.25">
      <c r="A568" t="s">
        <v>23</v>
      </c>
      <c r="B568" t="s">
        <v>15</v>
      </c>
    </row>
    <row r="569" spans="1:2" x14ac:dyDescent="0.25">
      <c r="A569" t="s">
        <v>23</v>
      </c>
      <c r="B569" t="s">
        <v>15</v>
      </c>
    </row>
    <row r="570" spans="1:2" x14ac:dyDescent="0.25">
      <c r="A570" t="s">
        <v>23</v>
      </c>
      <c r="B570" t="s">
        <v>15</v>
      </c>
    </row>
    <row r="571" spans="1:2" x14ac:dyDescent="0.25">
      <c r="A571" t="s">
        <v>23</v>
      </c>
      <c r="B571" t="s">
        <v>15</v>
      </c>
    </row>
    <row r="572" spans="1:2" x14ac:dyDescent="0.25">
      <c r="A572" t="s">
        <v>23</v>
      </c>
      <c r="B572" t="s">
        <v>15</v>
      </c>
    </row>
    <row r="573" spans="1:2" x14ac:dyDescent="0.25">
      <c r="A573" t="s">
        <v>23</v>
      </c>
      <c r="B573" t="s">
        <v>15</v>
      </c>
    </row>
    <row r="574" spans="1:2" x14ac:dyDescent="0.25">
      <c r="A574" t="s">
        <v>23</v>
      </c>
      <c r="B574" t="s">
        <v>15</v>
      </c>
    </row>
    <row r="575" spans="1:2" x14ac:dyDescent="0.25">
      <c r="A575" t="s">
        <v>23</v>
      </c>
      <c r="B575" t="s">
        <v>15</v>
      </c>
    </row>
    <row r="576" spans="1:2" x14ac:dyDescent="0.25">
      <c r="A576" t="s">
        <v>23</v>
      </c>
      <c r="B576" t="s">
        <v>15</v>
      </c>
    </row>
    <row r="577" spans="1:2" x14ac:dyDescent="0.25">
      <c r="A577" t="s">
        <v>23</v>
      </c>
      <c r="B577" t="s">
        <v>15</v>
      </c>
    </row>
    <row r="578" spans="1:2" x14ac:dyDescent="0.25">
      <c r="A578" t="s">
        <v>23</v>
      </c>
      <c r="B578" t="s">
        <v>15</v>
      </c>
    </row>
    <row r="579" spans="1:2" x14ac:dyDescent="0.25">
      <c r="A579" t="s">
        <v>23</v>
      </c>
      <c r="B579" t="s">
        <v>15</v>
      </c>
    </row>
    <row r="580" spans="1:2" x14ac:dyDescent="0.25">
      <c r="A580" t="s">
        <v>23</v>
      </c>
      <c r="B580" t="s">
        <v>15</v>
      </c>
    </row>
    <row r="581" spans="1:2" x14ac:dyDescent="0.25">
      <c r="A581" t="s">
        <v>23</v>
      </c>
      <c r="B581" t="s">
        <v>15</v>
      </c>
    </row>
    <row r="582" spans="1:2" x14ac:dyDescent="0.25">
      <c r="A582" t="s">
        <v>23</v>
      </c>
      <c r="B582" t="s">
        <v>15</v>
      </c>
    </row>
    <row r="583" spans="1:2" x14ac:dyDescent="0.25">
      <c r="A583" t="s">
        <v>23</v>
      </c>
      <c r="B583" t="s">
        <v>15</v>
      </c>
    </row>
    <row r="584" spans="1:2" x14ac:dyDescent="0.25">
      <c r="A584" t="s">
        <v>23</v>
      </c>
      <c r="B584" t="s">
        <v>15</v>
      </c>
    </row>
    <row r="585" spans="1:2" x14ac:dyDescent="0.25">
      <c r="A585" t="s">
        <v>23</v>
      </c>
      <c r="B585" t="s">
        <v>15</v>
      </c>
    </row>
    <row r="586" spans="1:2" x14ac:dyDescent="0.25">
      <c r="A586" t="s">
        <v>23</v>
      </c>
      <c r="B586" t="s">
        <v>15</v>
      </c>
    </row>
    <row r="587" spans="1:2" x14ac:dyDescent="0.25">
      <c r="A587" t="s">
        <v>23</v>
      </c>
      <c r="B587" t="s">
        <v>15</v>
      </c>
    </row>
    <row r="588" spans="1:2" x14ac:dyDescent="0.25">
      <c r="A588" t="s">
        <v>23</v>
      </c>
      <c r="B588" t="s">
        <v>15</v>
      </c>
    </row>
    <row r="589" spans="1:2" x14ac:dyDescent="0.25">
      <c r="A589" t="s">
        <v>23</v>
      </c>
      <c r="B589" t="s">
        <v>15</v>
      </c>
    </row>
    <row r="590" spans="1:2" x14ac:dyDescent="0.25">
      <c r="A590" t="s">
        <v>23</v>
      </c>
      <c r="B590" t="s">
        <v>15</v>
      </c>
    </row>
  </sheetData>
  <autoFilter ref="A1:B590"/>
  <sortState ref="A1:A590">
    <sortCondition ref="A1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3" tint="0.39997558519241921"/>
  </sheetPr>
  <dimension ref="A1:U1146"/>
  <sheetViews>
    <sheetView topLeftCell="M1" zoomScaleNormal="100" workbookViewId="0">
      <pane ySplit="1" topLeftCell="A2" activePane="bottomLeft" state="frozen"/>
      <selection pane="bottomLeft" activeCell="M8" sqref="M8"/>
    </sheetView>
  </sheetViews>
  <sheetFormatPr defaultRowHeight="15" x14ac:dyDescent="0.25"/>
  <cols>
    <col min="1" max="1" width="11.5703125" style="1" bestFit="1" customWidth="1"/>
    <col min="2" max="2" width="10.28515625" bestFit="1" customWidth="1"/>
    <col min="3" max="3" width="18" style="2" customWidth="1"/>
    <col min="4" max="4" width="14.85546875" style="2" bestFit="1" customWidth="1"/>
    <col min="5" max="6" width="26.7109375" customWidth="1"/>
    <col min="7" max="7" width="26.7109375" bestFit="1" customWidth="1"/>
    <col min="8" max="9" width="14.85546875" style="5" bestFit="1" customWidth="1"/>
    <col min="10" max="10" width="14.28515625" bestFit="1" customWidth="1"/>
    <col min="13" max="14" width="27.5703125" bestFit="1" customWidth="1"/>
    <col min="15" max="15" width="38" bestFit="1" customWidth="1"/>
    <col min="16" max="16" width="42.28515625" bestFit="1" customWidth="1"/>
    <col min="17" max="17" width="45.5703125" bestFit="1" customWidth="1"/>
    <col min="18" max="18" width="30.140625" bestFit="1" customWidth="1"/>
    <col min="19" max="19" width="31.5703125" bestFit="1" customWidth="1"/>
    <col min="20" max="20" width="19" bestFit="1" customWidth="1"/>
    <col min="21" max="21" width="26.7109375" customWidth="1"/>
    <col min="22" max="22" width="13.85546875" bestFit="1" customWidth="1"/>
    <col min="23" max="23" width="8.85546875" bestFit="1" customWidth="1"/>
  </cols>
  <sheetData>
    <row r="1" spans="1:21" x14ac:dyDescent="0.25">
      <c r="A1" s="1" t="s">
        <v>0</v>
      </c>
      <c r="B1" t="s">
        <v>4</v>
      </c>
      <c r="C1" s="2" t="s">
        <v>40</v>
      </c>
      <c r="D1" s="2" t="s">
        <v>70</v>
      </c>
      <c r="E1" t="s">
        <v>1</v>
      </c>
      <c r="F1" t="s">
        <v>115</v>
      </c>
      <c r="G1" t="s">
        <v>2</v>
      </c>
      <c r="H1" s="5" t="s">
        <v>41</v>
      </c>
      <c r="I1" s="5" t="s">
        <v>3</v>
      </c>
      <c r="J1" t="s">
        <v>60</v>
      </c>
      <c r="M1" s="12" t="s">
        <v>99</v>
      </c>
      <c r="N1" s="15" t="s">
        <v>100</v>
      </c>
      <c r="O1" s="11" t="s">
        <v>101</v>
      </c>
      <c r="P1" s="8" t="s">
        <v>88</v>
      </c>
      <c r="Q1" s="9" t="s">
        <v>92</v>
      </c>
      <c r="R1" s="9" t="s">
        <v>93</v>
      </c>
      <c r="S1" s="13" t="s">
        <v>94</v>
      </c>
      <c r="T1" s="14" t="s">
        <v>95</v>
      </c>
      <c r="U1" s="14" t="s">
        <v>98</v>
      </c>
    </row>
    <row r="2" spans="1:21" x14ac:dyDescent="0.25">
      <c r="A2" s="1">
        <v>46083</v>
      </c>
      <c r="B2" s="1" t="s">
        <v>42</v>
      </c>
      <c r="C2" s="2">
        <v>0.31527777777777777</v>
      </c>
      <c r="D2" s="2" t="str">
        <f>TEXT(C2,"hh")&amp;"h"</f>
        <v>07h</v>
      </c>
      <c r="E2" t="s">
        <v>5</v>
      </c>
      <c r="F2" t="str">
        <f>VLOOKUP(E2,dimensao_bairro!A:B,2,FALSE)</f>
        <v>Portão</v>
      </c>
      <c r="G2" t="s">
        <v>43</v>
      </c>
      <c r="H2" s="5">
        <v>35.299999999999997</v>
      </c>
      <c r="I2" s="5">
        <v>6.3</v>
      </c>
      <c r="J2" t="str">
        <f>IF(I2&lt;=2,"Curta",IF(I2&lt;=4,"Média","Longa"))</f>
        <v>Longa</v>
      </c>
      <c r="M2" t="str">
        <f>VLOOKUP(E2,dimensao_bairro!A:B,2,FALSE)</f>
        <v>Portão</v>
      </c>
      <c r="N2" t="e">
        <f ca="1">PROCX(E2,dimensao_bairro!A:A,dimensao_bairro!B:B)</f>
        <v>#NAME?</v>
      </c>
      <c r="O2" t="str">
        <f>INDEX(dimensao_bairro!B:B,MATCH(tabela_origem!E2,dimensao_bairro!A:A,0))</f>
        <v>Portão</v>
      </c>
      <c r="P2" t="str">
        <f>IF(H2&lt;7,"BAIXO",IF(H2&lt;=10,"MÉDIO","ALTO"))</f>
        <v>ALTO</v>
      </c>
      <c r="Q2" t="s">
        <v>89</v>
      </c>
      <c r="R2">
        <f>COUNTIF(P:P,"BAIXO")</f>
        <v>304</v>
      </c>
      <c r="S2">
        <f>SUMIF(P:P,"BAIXO",H:H)</f>
        <v>1995.3199999999988</v>
      </c>
      <c r="T2" t="s">
        <v>102</v>
      </c>
      <c r="U2" t="s">
        <v>103</v>
      </c>
    </row>
    <row r="3" spans="1:21" x14ac:dyDescent="0.25">
      <c r="A3" s="1">
        <v>46083</v>
      </c>
      <c r="B3" s="1" t="s">
        <v>42</v>
      </c>
      <c r="C3" s="2">
        <v>0.34236111111111112</v>
      </c>
      <c r="D3" s="2" t="str">
        <f t="shared" ref="D3:D66" si="0">TEXT(C3,"hh")&amp;"h"</f>
        <v>08h</v>
      </c>
      <c r="E3" t="s">
        <v>44</v>
      </c>
      <c r="F3" t="str">
        <f>VLOOKUP(E3,dimensao_bairro!A:B,2,FALSE)</f>
        <v>Cajuru</v>
      </c>
      <c r="G3" t="s">
        <v>45</v>
      </c>
      <c r="H3" s="5">
        <v>21.9</v>
      </c>
      <c r="I3" s="5">
        <v>8.6</v>
      </c>
      <c r="J3" t="str">
        <f t="shared" ref="J3:J66" si="1">IF(I3&lt;=2,"Curta",IF(I3&lt;=4,"Média","Longa"))</f>
        <v>Longa</v>
      </c>
      <c r="M3" t="str">
        <f>VLOOKUP(E3,dimensao_bairro!A:B,2,FALSE)</f>
        <v>Cajuru</v>
      </c>
      <c r="N3" t="e">
        <f ca="1">PROCX(1,#REF!,#REF!)</f>
        <v>#NAME?</v>
      </c>
      <c r="O3" t="str">
        <f>INDEX(dimensao_bairro!B:B,MATCH(tabela_origem!E3,dimensao_bairro!A:A,0))</f>
        <v>Cajuru</v>
      </c>
      <c r="P3" t="str">
        <f t="shared" ref="P3:P66" si="2">IF(H3&lt;7,"BAIXO",IF(H3&lt;=10,"MÉDIO","ALTO"))</f>
        <v>ALTO</v>
      </c>
      <c r="Q3" t="s">
        <v>90</v>
      </c>
      <c r="R3">
        <f>COUNTIF(P:P,"MÉDIO")</f>
        <v>195</v>
      </c>
      <c r="S3">
        <f>SUMIF(P:P,"MÉDIO",H:H)</f>
        <v>1592.8199999999997</v>
      </c>
      <c r="T3" t="s">
        <v>105</v>
      </c>
      <c r="U3" t="s">
        <v>97</v>
      </c>
    </row>
    <row r="4" spans="1:21" x14ac:dyDescent="0.25">
      <c r="A4" s="1">
        <v>46083</v>
      </c>
      <c r="B4" s="1" t="s">
        <v>42</v>
      </c>
      <c r="C4" s="2">
        <v>0.37013888888888885</v>
      </c>
      <c r="D4" s="2" t="str">
        <f t="shared" si="0"/>
        <v>08h</v>
      </c>
      <c r="E4" t="s">
        <v>45</v>
      </c>
      <c r="F4" t="str">
        <f>VLOOKUP(E4,dimensao_bairro!A:B,2,FALSE)</f>
        <v>Matriz</v>
      </c>
      <c r="G4" t="s">
        <v>46</v>
      </c>
      <c r="H4" s="5">
        <v>14.14</v>
      </c>
      <c r="I4" s="5">
        <v>5.7</v>
      </c>
      <c r="J4" t="str">
        <f t="shared" si="1"/>
        <v>Longa</v>
      </c>
      <c r="M4" t="str">
        <f>VLOOKUP(E4,dimensao_bairro!A:B,2,FALSE)</f>
        <v>Matriz</v>
      </c>
      <c r="O4" t="str">
        <f>INDEX(dimensao_bairro!B:B,MATCH(tabela_origem!E4,dimensao_bairro!A:A,0))</f>
        <v>Matriz</v>
      </c>
      <c r="P4" t="str">
        <f t="shared" si="2"/>
        <v>ALTO</v>
      </c>
      <c r="Q4" t="s">
        <v>91</v>
      </c>
      <c r="R4">
        <f>COUNTIF(P:P,"ALTO")</f>
        <v>90</v>
      </c>
      <c r="S4">
        <f>SUMIF(P:P,"ALTO",H:H)</f>
        <v>1336.9599999999998</v>
      </c>
      <c r="T4" t="s">
        <v>96</v>
      </c>
      <c r="U4" t="s">
        <v>4</v>
      </c>
    </row>
    <row r="5" spans="1:21" x14ac:dyDescent="0.25">
      <c r="A5" s="1">
        <v>46083</v>
      </c>
      <c r="B5" s="1" t="s">
        <v>42</v>
      </c>
      <c r="C5" s="2">
        <v>0.37986111111111115</v>
      </c>
      <c r="D5" s="2" t="str">
        <f t="shared" si="0"/>
        <v>09h</v>
      </c>
      <c r="E5" t="s">
        <v>47</v>
      </c>
      <c r="F5" t="str">
        <f>VLOOKUP(E5,dimensao_bairro!A:B,2,FALSE)</f>
        <v>Boa Vista</v>
      </c>
      <c r="G5" t="s">
        <v>48</v>
      </c>
      <c r="H5" s="5">
        <v>12.2</v>
      </c>
      <c r="I5" s="5">
        <v>4.4000000000000004</v>
      </c>
      <c r="J5" t="str">
        <f t="shared" si="1"/>
        <v>Longa</v>
      </c>
      <c r="M5" t="str">
        <f>VLOOKUP(E5,dimensao_bairro!A:B,2,FALSE)</f>
        <v>Boa Vista</v>
      </c>
      <c r="O5" t="str">
        <f>INDEX(dimensao_bairro!B:B,MATCH(tabela_origem!E5,dimensao_bairro!A:A,0))</f>
        <v>Boa Vista</v>
      </c>
      <c r="P5" t="str">
        <f t="shared" si="2"/>
        <v>ALTO</v>
      </c>
      <c r="T5" t="s">
        <v>104</v>
      </c>
      <c r="U5" t="s">
        <v>95</v>
      </c>
    </row>
    <row r="6" spans="1:21" x14ac:dyDescent="0.25">
      <c r="A6" s="1">
        <v>46083</v>
      </c>
      <c r="B6" s="1" t="s">
        <v>42</v>
      </c>
      <c r="C6" s="2">
        <v>0.39513888888888887</v>
      </c>
      <c r="D6" s="2" t="str">
        <f t="shared" si="0"/>
        <v>09h</v>
      </c>
      <c r="E6" t="s">
        <v>49</v>
      </c>
      <c r="F6" t="str">
        <f>VLOOKUP(E6,dimensao_bairro!A:B,2,FALSE)</f>
        <v>Matriz</v>
      </c>
      <c r="G6" t="s">
        <v>18</v>
      </c>
      <c r="H6" s="5">
        <v>9.8000000000000007</v>
      </c>
      <c r="I6" s="5">
        <v>3.6</v>
      </c>
      <c r="J6" t="str">
        <f t="shared" si="1"/>
        <v>Média</v>
      </c>
      <c r="M6" t="str">
        <f>VLOOKUP(E6,dimensao_bairro!A:B,2,FALSE)</f>
        <v>Matriz</v>
      </c>
      <c r="O6" t="str">
        <f>INDEX(dimensao_bairro!B:B,MATCH(tabela_origem!E6,dimensao_bairro!A:A,0))</f>
        <v>Matriz</v>
      </c>
      <c r="P6" t="str">
        <f t="shared" si="2"/>
        <v>MÉDIO</v>
      </c>
    </row>
    <row r="7" spans="1:21" x14ac:dyDescent="0.25">
      <c r="A7" s="1">
        <v>46083</v>
      </c>
      <c r="B7" s="1" t="s">
        <v>42</v>
      </c>
      <c r="C7" s="2">
        <v>0.33611111111111108</v>
      </c>
      <c r="D7" s="2" t="str">
        <f t="shared" si="0"/>
        <v>08h</v>
      </c>
      <c r="E7" t="s">
        <v>44</v>
      </c>
      <c r="F7" t="str">
        <f>VLOOKUP(E7,dimensao_bairro!A:B,2,FALSE)</f>
        <v>Cajuru</v>
      </c>
      <c r="G7" t="s">
        <v>44</v>
      </c>
      <c r="H7" s="5">
        <v>7.1</v>
      </c>
      <c r="I7" s="5">
        <v>1.2</v>
      </c>
      <c r="J7" t="str">
        <f t="shared" si="1"/>
        <v>Curta</v>
      </c>
      <c r="M7" t="str">
        <f>VLOOKUP(E7,dimensao_bairro!A:B,2,FALSE)</f>
        <v>Cajuru</v>
      </c>
      <c r="O7" t="str">
        <f>INDEX(dimensao_bairro!B:B,MATCH(tabela_origem!E7,dimensao_bairro!A:A,0))</f>
        <v>Cajuru</v>
      </c>
      <c r="P7" t="str">
        <f t="shared" si="2"/>
        <v>MÉDIO</v>
      </c>
      <c r="T7" s="10" t="s">
        <v>107</v>
      </c>
      <c r="U7" s="10" t="s">
        <v>106</v>
      </c>
    </row>
    <row r="8" spans="1:21" x14ac:dyDescent="0.25">
      <c r="A8" s="1">
        <v>46083</v>
      </c>
      <c r="B8" s="1" t="s">
        <v>42</v>
      </c>
      <c r="C8" s="2">
        <v>0.40972222222222227</v>
      </c>
      <c r="D8" s="2" t="str">
        <f t="shared" si="0"/>
        <v>09h</v>
      </c>
      <c r="E8" t="s">
        <v>13</v>
      </c>
      <c r="F8" t="str">
        <f>VLOOKUP(E8,dimensao_bairro!A:B,2,FALSE)</f>
        <v>Matriz</v>
      </c>
      <c r="G8" t="s">
        <v>13</v>
      </c>
      <c r="H8" s="5">
        <v>6.6</v>
      </c>
      <c r="I8" s="5">
        <v>1.3</v>
      </c>
      <c r="J8" t="str">
        <f t="shared" si="1"/>
        <v>Curta</v>
      </c>
      <c r="M8" t="str">
        <f>VLOOKUP(E8,dimensao_bairro!A:B,2,FALSE)</f>
        <v>Matriz</v>
      </c>
      <c r="O8" t="str">
        <f>INDEX(dimensao_bairro!B:B,MATCH(tabela_origem!E8,dimensao_bairro!A:A,0))</f>
        <v>Matriz</v>
      </c>
      <c r="P8" t="str">
        <f t="shared" si="2"/>
        <v>BAIXO</v>
      </c>
      <c r="T8" s="10" t="s">
        <v>109</v>
      </c>
      <c r="U8">
        <f>SUMIFS(H:H,P:P,"ALTO",B:B,"TARDE")</f>
        <v>695.68999999999994</v>
      </c>
    </row>
    <row r="9" spans="1:21" x14ac:dyDescent="0.25">
      <c r="A9" s="1">
        <v>46083</v>
      </c>
      <c r="B9" s="1" t="s">
        <v>42</v>
      </c>
      <c r="C9" s="2">
        <v>0.40347222222222223</v>
      </c>
      <c r="D9" s="2" t="str">
        <f t="shared" si="0"/>
        <v>09h</v>
      </c>
      <c r="E9" t="s">
        <v>18</v>
      </c>
      <c r="F9" t="str">
        <f>VLOOKUP(E9,dimensao_bairro!A:B,2,FALSE)</f>
        <v>Matriz</v>
      </c>
      <c r="G9" t="s">
        <v>13</v>
      </c>
      <c r="H9" s="5">
        <v>6.6</v>
      </c>
      <c r="I9" s="5">
        <v>1.8</v>
      </c>
      <c r="J9" t="str">
        <f t="shared" si="1"/>
        <v>Curta</v>
      </c>
      <c r="M9" t="str">
        <f>VLOOKUP(E9,dimensao_bairro!A:B,2,FALSE)</f>
        <v>Matriz</v>
      </c>
      <c r="O9" t="str">
        <f>INDEX(dimensao_bairro!B:B,MATCH(tabela_origem!E9,dimensao_bairro!A:A,0))</f>
        <v>Matriz</v>
      </c>
      <c r="P9" t="str">
        <f t="shared" si="2"/>
        <v>BAIXO</v>
      </c>
      <c r="T9" s="10" t="s">
        <v>108</v>
      </c>
      <c r="U9">
        <f>SUMIFS(H:H,P:P,"ALTO",B:B,"MANHÃ")</f>
        <v>641.27000000000032</v>
      </c>
    </row>
    <row r="10" spans="1:21" x14ac:dyDescent="0.25">
      <c r="A10" s="1">
        <v>46083</v>
      </c>
      <c r="B10" s="1" t="s">
        <v>42</v>
      </c>
      <c r="C10" s="2">
        <v>0.3923611111111111</v>
      </c>
      <c r="D10" s="2" t="str">
        <f t="shared" si="0"/>
        <v>09h</v>
      </c>
      <c r="E10" t="s">
        <v>48</v>
      </c>
      <c r="F10" t="str">
        <f>VLOOKUP(E10,dimensao_bairro!A:B,2,FALSE)</f>
        <v>Matriz</v>
      </c>
      <c r="G10" t="s">
        <v>49</v>
      </c>
      <c r="H10" s="5">
        <v>6.5</v>
      </c>
      <c r="I10" s="5">
        <v>1</v>
      </c>
      <c r="J10" t="str">
        <f t="shared" si="1"/>
        <v>Curta</v>
      </c>
      <c r="M10" t="str">
        <f>VLOOKUP(E10,dimensao_bairro!A:B,2,FALSE)</f>
        <v>Matriz</v>
      </c>
      <c r="O10" t="str">
        <f>INDEX(dimensao_bairro!B:B,MATCH(tabela_origem!E10,dimensao_bairro!A:A,0))</f>
        <v>Matriz</v>
      </c>
      <c r="P10" t="str">
        <f t="shared" si="2"/>
        <v>BAIXO</v>
      </c>
      <c r="T10" s="10" t="s">
        <v>110</v>
      </c>
      <c r="U10">
        <f>SUMIFS(H:H,P:P,"MÉDIO",B:B,"TARDE")</f>
        <v>1090.1100000000001</v>
      </c>
    </row>
    <row r="11" spans="1:21" x14ac:dyDescent="0.25">
      <c r="A11" s="1">
        <v>46084</v>
      </c>
      <c r="B11" s="1" t="s">
        <v>42</v>
      </c>
      <c r="C11" s="2">
        <v>0.3125</v>
      </c>
      <c r="D11" s="2" t="str">
        <f t="shared" si="0"/>
        <v>07h</v>
      </c>
      <c r="E11" t="s">
        <v>12</v>
      </c>
      <c r="F11" t="str">
        <f>VLOOKUP(E11,dimensao_bairro!A:B,2,FALSE)</f>
        <v>Portão</v>
      </c>
      <c r="G11" t="s">
        <v>13</v>
      </c>
      <c r="H11" s="5">
        <v>30.7</v>
      </c>
      <c r="I11" s="5">
        <v>8.1999999999999993</v>
      </c>
      <c r="J11" t="str">
        <f t="shared" si="1"/>
        <v>Longa</v>
      </c>
      <c r="M11" t="str">
        <f>VLOOKUP(E11,dimensao_bairro!A:B,2,FALSE)</f>
        <v>Portão</v>
      </c>
      <c r="O11" t="str">
        <f>INDEX(dimensao_bairro!B:B,MATCH(tabela_origem!E11,dimensao_bairro!A:A,0))</f>
        <v>Portão</v>
      </c>
      <c r="P11" t="str">
        <f t="shared" si="2"/>
        <v>ALTO</v>
      </c>
    </row>
    <row r="12" spans="1:21" x14ac:dyDescent="0.25">
      <c r="A12" s="1">
        <v>46084</v>
      </c>
      <c r="B12" s="1" t="s">
        <v>42</v>
      </c>
      <c r="C12" s="2">
        <v>0.3743055555555555</v>
      </c>
      <c r="D12" s="2" t="str">
        <f t="shared" si="0"/>
        <v>08h</v>
      </c>
      <c r="E12" t="s">
        <v>15</v>
      </c>
      <c r="F12" t="str">
        <f>VLOOKUP(E12,dimensao_bairro!A:B,2,FALSE)</f>
        <v>Boqueirão</v>
      </c>
      <c r="G12" t="s">
        <v>10</v>
      </c>
      <c r="H12" s="5">
        <v>12.1</v>
      </c>
      <c r="I12" s="5">
        <v>4.8</v>
      </c>
      <c r="J12" t="str">
        <f t="shared" si="1"/>
        <v>Longa</v>
      </c>
      <c r="M12" t="str">
        <f>VLOOKUP(E12,dimensao_bairro!A:B,2,FALSE)</f>
        <v>Boqueirão</v>
      </c>
      <c r="O12" t="str">
        <f>INDEX(dimensao_bairro!B:B,MATCH(tabela_origem!E12,dimensao_bairro!A:A,0))</f>
        <v>Boqueirão</v>
      </c>
      <c r="P12" t="str">
        <f t="shared" si="2"/>
        <v>ALTO</v>
      </c>
    </row>
    <row r="13" spans="1:21" x14ac:dyDescent="0.25">
      <c r="A13" s="1">
        <v>46084</v>
      </c>
      <c r="B13" s="1" t="s">
        <v>42</v>
      </c>
      <c r="C13" s="2">
        <v>0.33333333333333331</v>
      </c>
      <c r="D13" s="2" t="str">
        <f t="shared" si="0"/>
        <v>08h</v>
      </c>
      <c r="E13" t="s">
        <v>13</v>
      </c>
      <c r="F13" t="str">
        <f>VLOOKUP(E13,dimensao_bairro!A:B,2,FALSE)</f>
        <v>Matriz</v>
      </c>
      <c r="G13" t="s">
        <v>25</v>
      </c>
      <c r="H13" s="5">
        <v>11.2</v>
      </c>
      <c r="I13" s="5">
        <v>5.3</v>
      </c>
      <c r="J13" t="str">
        <f t="shared" si="1"/>
        <v>Longa</v>
      </c>
      <c r="M13" t="str">
        <f>VLOOKUP(E13,dimensao_bairro!A:B,2,FALSE)</f>
        <v>Matriz</v>
      </c>
      <c r="O13" t="str">
        <f>INDEX(dimensao_bairro!B:B,MATCH(tabela_origem!E13,dimensao_bairro!A:A,0))</f>
        <v>Matriz</v>
      </c>
      <c r="P13" t="str">
        <f t="shared" si="2"/>
        <v>ALTO</v>
      </c>
    </row>
    <row r="14" spans="1:21" x14ac:dyDescent="0.25">
      <c r="A14" s="1">
        <v>46084</v>
      </c>
      <c r="B14" s="1" t="s">
        <v>42</v>
      </c>
      <c r="C14" s="2">
        <v>0.37083333333333335</v>
      </c>
      <c r="D14" s="2" t="str">
        <f t="shared" si="0"/>
        <v>08h</v>
      </c>
      <c r="E14" t="s">
        <v>12</v>
      </c>
      <c r="F14" t="str">
        <f>VLOOKUP(E14,dimensao_bairro!A:B,2,FALSE)</f>
        <v>Portão</v>
      </c>
      <c r="G14" t="s">
        <v>11</v>
      </c>
      <c r="H14" s="5">
        <v>7.4</v>
      </c>
      <c r="I14" s="5">
        <v>1.9</v>
      </c>
      <c r="J14" t="str">
        <f t="shared" si="1"/>
        <v>Curta</v>
      </c>
      <c r="M14" t="str">
        <f>VLOOKUP(E14,dimensao_bairro!A:B,2,FALSE)</f>
        <v>Portão</v>
      </c>
      <c r="O14" t="str">
        <f>INDEX(dimensao_bairro!B:B,MATCH(tabela_origem!E14,dimensao_bairro!A:A,0))</f>
        <v>Portão</v>
      </c>
      <c r="P14" t="str">
        <f t="shared" si="2"/>
        <v>MÉDIO</v>
      </c>
    </row>
    <row r="15" spans="1:21" x14ac:dyDescent="0.25">
      <c r="A15" s="1">
        <v>46084</v>
      </c>
      <c r="B15" s="1" t="s">
        <v>42</v>
      </c>
      <c r="C15" s="2">
        <v>0.34791666666666665</v>
      </c>
      <c r="D15" s="2" t="str">
        <f t="shared" si="0"/>
        <v>08h</v>
      </c>
      <c r="E15" t="s">
        <v>25</v>
      </c>
      <c r="F15" t="str">
        <f>VLOOKUP(E15,dimensao_bairro!A:B,2,FALSE)</f>
        <v>Cajuru</v>
      </c>
      <c r="G15" t="s">
        <v>11</v>
      </c>
      <c r="H15" s="5">
        <v>6.9</v>
      </c>
      <c r="I15" s="5">
        <v>2.1</v>
      </c>
      <c r="J15" t="str">
        <f t="shared" si="1"/>
        <v>Média</v>
      </c>
      <c r="M15" t="str">
        <f>VLOOKUP(E15,dimensao_bairro!A:B,2,FALSE)</f>
        <v>Cajuru</v>
      </c>
      <c r="O15" t="str">
        <f>INDEX(dimensao_bairro!B:B,MATCH(tabela_origem!E15,dimensao_bairro!A:A,0))</f>
        <v>Cajuru</v>
      </c>
      <c r="P15" t="str">
        <f t="shared" si="2"/>
        <v>BAIXO</v>
      </c>
    </row>
    <row r="16" spans="1:21" x14ac:dyDescent="0.25">
      <c r="A16" s="1">
        <v>46084</v>
      </c>
      <c r="B16" s="1" t="s">
        <v>42</v>
      </c>
      <c r="C16" s="2">
        <v>0.41041666666666665</v>
      </c>
      <c r="D16" s="2" t="str">
        <f t="shared" si="0"/>
        <v>09h</v>
      </c>
      <c r="E16" t="s">
        <v>9</v>
      </c>
      <c r="F16" t="str">
        <f>VLOOKUP(E16,dimensao_bairro!A:B,2,FALSE)</f>
        <v>Portão</v>
      </c>
      <c r="G16" t="s">
        <v>20</v>
      </c>
      <c r="H16" s="5">
        <v>6.6</v>
      </c>
      <c r="I16" s="5">
        <v>1.7</v>
      </c>
      <c r="J16" t="str">
        <f t="shared" si="1"/>
        <v>Curta</v>
      </c>
      <c r="M16" t="str">
        <f>VLOOKUP(E16,dimensao_bairro!A:B,2,FALSE)</f>
        <v>Portão</v>
      </c>
      <c r="O16" t="str">
        <f>INDEX(dimensao_bairro!B:B,MATCH(tabela_origem!E16,dimensao_bairro!A:A,0))</f>
        <v>Portão</v>
      </c>
      <c r="P16" t="str">
        <f t="shared" si="2"/>
        <v>BAIXO</v>
      </c>
    </row>
    <row r="17" spans="1:16" x14ac:dyDescent="0.25">
      <c r="A17" s="1">
        <v>46084</v>
      </c>
      <c r="B17" s="1" t="s">
        <v>42</v>
      </c>
      <c r="C17" s="2">
        <v>0.38750000000000001</v>
      </c>
      <c r="D17" s="2" t="str">
        <f t="shared" si="0"/>
        <v>09h</v>
      </c>
      <c r="E17" t="s">
        <v>10</v>
      </c>
      <c r="F17" t="str">
        <f>VLOOKUP(E17,dimensao_bairro!A:B,2,FALSE)</f>
        <v>Portão</v>
      </c>
      <c r="G17" t="s">
        <v>10</v>
      </c>
      <c r="H17" s="5">
        <v>6.5</v>
      </c>
      <c r="I17" s="5">
        <v>0.5</v>
      </c>
      <c r="J17" t="str">
        <f t="shared" si="1"/>
        <v>Curta</v>
      </c>
      <c r="M17" t="str">
        <f>VLOOKUP(E17,dimensao_bairro!A:B,2,FALSE)</f>
        <v>Portão</v>
      </c>
      <c r="O17" t="str">
        <f>INDEX(dimensao_bairro!B:B,MATCH(tabela_origem!E17,dimensao_bairro!A:A,0))</f>
        <v>Portão</v>
      </c>
      <c r="P17" t="str">
        <f t="shared" si="2"/>
        <v>BAIXO</v>
      </c>
    </row>
    <row r="18" spans="1:16" x14ac:dyDescent="0.25">
      <c r="A18" s="1">
        <v>46084</v>
      </c>
      <c r="B18" s="1" t="s">
        <v>42</v>
      </c>
      <c r="C18" s="2">
        <v>0.39305555555555555</v>
      </c>
      <c r="D18" s="2" t="str">
        <f t="shared" si="0"/>
        <v>09h</v>
      </c>
      <c r="E18" t="s">
        <v>10</v>
      </c>
      <c r="F18" t="str">
        <f>VLOOKUP(E18,dimensao_bairro!A:B,2,FALSE)</f>
        <v>Portão</v>
      </c>
      <c r="G18" t="s">
        <v>9</v>
      </c>
      <c r="H18" s="5">
        <v>6.5</v>
      </c>
      <c r="I18" s="5">
        <v>3.1</v>
      </c>
      <c r="J18" t="str">
        <f t="shared" si="1"/>
        <v>Média</v>
      </c>
      <c r="M18" t="str">
        <f>VLOOKUP(E18,dimensao_bairro!A:B,2,FALSE)</f>
        <v>Portão</v>
      </c>
      <c r="O18" t="str">
        <f>INDEX(dimensao_bairro!B:B,MATCH(tabela_origem!E18,dimensao_bairro!A:A,0))</f>
        <v>Portão</v>
      </c>
      <c r="P18" t="str">
        <f t="shared" si="2"/>
        <v>BAIXO</v>
      </c>
    </row>
    <row r="19" spans="1:16" x14ac:dyDescent="0.25">
      <c r="A19" s="1">
        <v>46085</v>
      </c>
      <c r="B19" s="1" t="s">
        <v>42</v>
      </c>
      <c r="C19" s="2">
        <v>0.32569444444444445</v>
      </c>
      <c r="D19" s="2" t="str">
        <f t="shared" si="0"/>
        <v>07h</v>
      </c>
      <c r="E19" t="s">
        <v>36</v>
      </c>
      <c r="F19" t="str">
        <f>VLOOKUP(E19,dimensao_bairro!A:B,2,FALSE)</f>
        <v>Portão</v>
      </c>
      <c r="G19" t="s">
        <v>33</v>
      </c>
      <c r="H19" s="5">
        <v>12.4</v>
      </c>
      <c r="I19" s="5">
        <v>2.2000000000000002</v>
      </c>
      <c r="J19" t="str">
        <f t="shared" si="1"/>
        <v>Média</v>
      </c>
      <c r="M19" t="str">
        <f>VLOOKUP(E19,dimensao_bairro!A:B,2,FALSE)</f>
        <v>Portão</v>
      </c>
      <c r="O19" t="str">
        <f>INDEX(dimensao_bairro!B:B,MATCH(tabela_origem!E19,dimensao_bairro!A:A,0))</f>
        <v>Portão</v>
      </c>
      <c r="P19" t="str">
        <f t="shared" si="2"/>
        <v>ALTO</v>
      </c>
    </row>
    <row r="20" spans="1:16" x14ac:dyDescent="0.25">
      <c r="A20" s="1">
        <v>46085</v>
      </c>
      <c r="B20" s="1" t="s">
        <v>42</v>
      </c>
      <c r="C20" s="2">
        <v>0.31458333333333333</v>
      </c>
      <c r="D20" s="2" t="str">
        <f t="shared" si="0"/>
        <v>07h</v>
      </c>
      <c r="E20" t="s">
        <v>36</v>
      </c>
      <c r="F20" t="str">
        <f>VLOOKUP(E20,dimensao_bairro!A:B,2,FALSE)</f>
        <v>Portão</v>
      </c>
      <c r="G20" t="s">
        <v>21</v>
      </c>
      <c r="H20" s="5">
        <v>7.9</v>
      </c>
      <c r="I20" s="5">
        <v>1.3</v>
      </c>
      <c r="J20" t="str">
        <f t="shared" si="1"/>
        <v>Curta</v>
      </c>
      <c r="M20" t="str">
        <f>VLOOKUP(E20,dimensao_bairro!A:B,2,FALSE)</f>
        <v>Portão</v>
      </c>
      <c r="O20" t="str">
        <f>INDEX(dimensao_bairro!B:B,MATCH(tabela_origem!E20,dimensao_bairro!A:A,0))</f>
        <v>Portão</v>
      </c>
      <c r="P20" t="str">
        <f t="shared" si="2"/>
        <v>MÉDIO</v>
      </c>
    </row>
    <row r="21" spans="1:16" x14ac:dyDescent="0.25">
      <c r="A21" s="1">
        <v>46085</v>
      </c>
      <c r="B21" s="1" t="s">
        <v>42</v>
      </c>
      <c r="C21" s="2">
        <v>0.36874999999999997</v>
      </c>
      <c r="D21" s="2" t="str">
        <f t="shared" si="0"/>
        <v>08h</v>
      </c>
      <c r="E21" t="s">
        <v>13</v>
      </c>
      <c r="F21" t="str">
        <f>VLOOKUP(E21,dimensao_bairro!A:B,2,FALSE)</f>
        <v>Matriz</v>
      </c>
      <c r="G21" t="s">
        <v>33</v>
      </c>
      <c r="H21" s="5">
        <v>7.4</v>
      </c>
      <c r="I21" s="5">
        <v>2</v>
      </c>
      <c r="J21" t="str">
        <f t="shared" si="1"/>
        <v>Curta</v>
      </c>
      <c r="M21" t="str">
        <f>VLOOKUP(E21,dimensao_bairro!A:B,2,FALSE)</f>
        <v>Matriz</v>
      </c>
      <c r="O21" t="str">
        <f>INDEX(dimensao_bairro!B:B,MATCH(tabela_origem!E21,dimensao_bairro!A:A,0))</f>
        <v>Matriz</v>
      </c>
      <c r="P21" t="str">
        <f t="shared" si="2"/>
        <v>MÉDIO</v>
      </c>
    </row>
    <row r="22" spans="1:16" x14ac:dyDescent="0.25">
      <c r="A22" s="1">
        <v>46085</v>
      </c>
      <c r="B22" s="1" t="s">
        <v>42</v>
      </c>
      <c r="C22" s="2">
        <v>0.34930555555555554</v>
      </c>
      <c r="D22" s="2" t="str">
        <f t="shared" si="0"/>
        <v>08h</v>
      </c>
      <c r="E22" t="s">
        <v>30</v>
      </c>
      <c r="F22" t="str">
        <f>VLOOKUP(E22,dimensao_bairro!A:B,2,FALSE)</f>
        <v>Portão</v>
      </c>
      <c r="G22" t="s">
        <v>33</v>
      </c>
      <c r="H22" s="5">
        <v>6.9</v>
      </c>
      <c r="I22" s="5">
        <v>1.9</v>
      </c>
      <c r="J22" t="str">
        <f t="shared" si="1"/>
        <v>Curta</v>
      </c>
      <c r="M22" t="str">
        <f>VLOOKUP(E22,dimensao_bairro!A:B,2,FALSE)</f>
        <v>Portão</v>
      </c>
      <c r="O22" t="str">
        <f>INDEX(dimensao_bairro!B:B,MATCH(tabela_origem!E22,dimensao_bairro!A:A,0))</f>
        <v>Portão</v>
      </c>
      <c r="P22" t="str">
        <f t="shared" si="2"/>
        <v>BAIXO</v>
      </c>
    </row>
    <row r="23" spans="1:16" x14ac:dyDescent="0.25">
      <c r="A23" s="1">
        <v>46085</v>
      </c>
      <c r="B23" s="1" t="s">
        <v>42</v>
      </c>
      <c r="C23" s="2">
        <v>0.33680555555555558</v>
      </c>
      <c r="D23" s="2" t="str">
        <f t="shared" si="0"/>
        <v>08h</v>
      </c>
      <c r="E23" t="s">
        <v>9</v>
      </c>
      <c r="F23" t="str">
        <f>VLOOKUP(E23,dimensao_bairro!A:B,2,FALSE)</f>
        <v>Portão</v>
      </c>
      <c r="G23" t="s">
        <v>38</v>
      </c>
      <c r="H23" s="5">
        <v>6.8</v>
      </c>
      <c r="I23" s="5">
        <v>2.1</v>
      </c>
      <c r="J23" t="str">
        <f t="shared" si="1"/>
        <v>Média</v>
      </c>
      <c r="M23" t="str">
        <f>VLOOKUP(E23,dimensao_bairro!A:B,2,FALSE)</f>
        <v>Portão</v>
      </c>
      <c r="O23" t="str">
        <f>INDEX(dimensao_bairro!B:B,MATCH(tabela_origem!E23,dimensao_bairro!A:A,0))</f>
        <v>Portão</v>
      </c>
      <c r="P23" t="str">
        <f t="shared" si="2"/>
        <v>BAIXO</v>
      </c>
    </row>
    <row r="24" spans="1:16" x14ac:dyDescent="0.25">
      <c r="A24" s="1">
        <v>46085</v>
      </c>
      <c r="B24" s="1" t="s">
        <v>42</v>
      </c>
      <c r="C24" s="2">
        <v>0.35902777777777778</v>
      </c>
      <c r="D24" s="2" t="str">
        <f t="shared" si="0"/>
        <v>08h</v>
      </c>
      <c r="E24" t="s">
        <v>38</v>
      </c>
      <c r="F24" t="str">
        <f>VLOOKUP(E24,dimensao_bairro!A:B,2,FALSE)</f>
        <v>Matriz</v>
      </c>
      <c r="G24" t="s">
        <v>15</v>
      </c>
      <c r="H24" s="5">
        <v>6.5</v>
      </c>
      <c r="I24" s="5">
        <v>2.2999999999999998</v>
      </c>
      <c r="J24" t="str">
        <f t="shared" si="1"/>
        <v>Média</v>
      </c>
      <c r="M24" t="str">
        <f>VLOOKUP(E24,dimensao_bairro!A:B,2,FALSE)</f>
        <v>Matriz</v>
      </c>
      <c r="O24" t="str">
        <f>INDEX(dimensao_bairro!B:B,MATCH(tabela_origem!E24,dimensao_bairro!A:A,0))</f>
        <v>Matriz</v>
      </c>
      <c r="P24" t="str">
        <f t="shared" si="2"/>
        <v>BAIXO</v>
      </c>
    </row>
    <row r="25" spans="1:16" x14ac:dyDescent="0.25">
      <c r="A25" s="1">
        <v>46086</v>
      </c>
      <c r="B25" s="1" t="s">
        <v>42</v>
      </c>
      <c r="C25" s="2">
        <v>0.32222222222222224</v>
      </c>
      <c r="D25" s="2" t="str">
        <f t="shared" si="0"/>
        <v>07h</v>
      </c>
      <c r="E25" t="s">
        <v>13</v>
      </c>
      <c r="F25" t="str">
        <f>VLOOKUP(E25,dimensao_bairro!A:B,2,FALSE)</f>
        <v>Matriz</v>
      </c>
      <c r="G25" t="s">
        <v>9</v>
      </c>
      <c r="H25" s="5">
        <v>19.399999999999999</v>
      </c>
      <c r="I25" s="5">
        <v>8.3000000000000007</v>
      </c>
      <c r="J25" t="str">
        <f t="shared" si="1"/>
        <v>Longa</v>
      </c>
      <c r="M25" t="str">
        <f>VLOOKUP(E25,dimensao_bairro!A:B,2,FALSE)</f>
        <v>Matriz</v>
      </c>
      <c r="O25" t="str">
        <f>INDEX(dimensao_bairro!B:B,MATCH(tabela_origem!E25,dimensao_bairro!A:A,0))</f>
        <v>Matriz</v>
      </c>
      <c r="P25" t="str">
        <f t="shared" si="2"/>
        <v>ALTO</v>
      </c>
    </row>
    <row r="26" spans="1:16" x14ac:dyDescent="0.25">
      <c r="A26" s="1">
        <v>46086</v>
      </c>
      <c r="B26" s="1" t="s">
        <v>42</v>
      </c>
      <c r="C26" s="2">
        <v>0.34166666666666662</v>
      </c>
      <c r="D26" s="2" t="str">
        <f t="shared" si="0"/>
        <v>08h</v>
      </c>
      <c r="E26" t="s">
        <v>15</v>
      </c>
      <c r="F26" t="str">
        <f>VLOOKUP(E26,dimensao_bairro!A:B,2,FALSE)</f>
        <v>Boqueirão</v>
      </c>
      <c r="G26" t="s">
        <v>6</v>
      </c>
      <c r="H26" s="5">
        <v>16.399999999999999</v>
      </c>
      <c r="I26" s="5">
        <v>9.6</v>
      </c>
      <c r="J26" t="str">
        <f t="shared" si="1"/>
        <v>Longa</v>
      </c>
      <c r="M26" t="str">
        <f>VLOOKUP(E26,dimensao_bairro!A:B,2,FALSE)</f>
        <v>Boqueirão</v>
      </c>
      <c r="O26" t="str">
        <f>INDEX(dimensao_bairro!B:B,MATCH(tabela_origem!E26,dimensao_bairro!A:A,0))</f>
        <v>Boqueirão</v>
      </c>
      <c r="P26" t="str">
        <f t="shared" si="2"/>
        <v>ALTO</v>
      </c>
    </row>
    <row r="27" spans="1:16" x14ac:dyDescent="0.25">
      <c r="A27" s="1">
        <v>46086</v>
      </c>
      <c r="B27" s="1" t="s">
        <v>42</v>
      </c>
      <c r="C27" s="2">
        <v>0.38680555555555557</v>
      </c>
      <c r="D27" s="2" t="str">
        <f t="shared" si="0"/>
        <v>09h</v>
      </c>
      <c r="E27" t="s">
        <v>36</v>
      </c>
      <c r="F27" t="str">
        <f>VLOOKUP(E27,dimensao_bairro!A:B,2,FALSE)</f>
        <v>Portão</v>
      </c>
      <c r="G27" t="s">
        <v>36</v>
      </c>
      <c r="H27" s="5">
        <v>10.7</v>
      </c>
      <c r="I27" s="5">
        <v>1.4</v>
      </c>
      <c r="J27" t="str">
        <f t="shared" si="1"/>
        <v>Curta</v>
      </c>
      <c r="M27" t="str">
        <f>VLOOKUP(E27,dimensao_bairro!A:B,2,FALSE)</f>
        <v>Portão</v>
      </c>
      <c r="O27" t="str">
        <f>INDEX(dimensao_bairro!B:B,MATCH(tabela_origem!E27,dimensao_bairro!A:A,0))</f>
        <v>Portão</v>
      </c>
      <c r="P27" t="str">
        <f t="shared" si="2"/>
        <v>ALTO</v>
      </c>
    </row>
    <row r="28" spans="1:16" x14ac:dyDescent="0.25">
      <c r="A28" s="1">
        <v>46086</v>
      </c>
      <c r="B28" s="1" t="s">
        <v>42</v>
      </c>
      <c r="C28" s="2">
        <v>0.40347222222222223</v>
      </c>
      <c r="D28" s="2" t="str">
        <f t="shared" si="0"/>
        <v>09h</v>
      </c>
      <c r="E28" t="s">
        <v>8</v>
      </c>
      <c r="F28" t="str">
        <f>VLOOKUP(E28,dimensao_bairro!A:B,2,FALSE)</f>
        <v>Portão</v>
      </c>
      <c r="G28" t="s">
        <v>5</v>
      </c>
      <c r="H28" s="5">
        <v>9.6999999999999993</v>
      </c>
      <c r="I28" s="5">
        <v>3.6</v>
      </c>
      <c r="J28" t="str">
        <f t="shared" si="1"/>
        <v>Média</v>
      </c>
      <c r="M28" t="str">
        <f>VLOOKUP(E28,dimensao_bairro!A:B,2,FALSE)</f>
        <v>Portão</v>
      </c>
      <c r="O28" t="str">
        <f>INDEX(dimensao_bairro!B:B,MATCH(tabela_origem!E28,dimensao_bairro!A:A,0))</f>
        <v>Portão</v>
      </c>
      <c r="P28" t="str">
        <f t="shared" si="2"/>
        <v>MÉDIO</v>
      </c>
    </row>
    <row r="29" spans="1:16" x14ac:dyDescent="0.25">
      <c r="A29" s="1">
        <v>46086</v>
      </c>
      <c r="B29" s="1" t="s">
        <v>42</v>
      </c>
      <c r="C29" s="2">
        <v>0.39305555555555555</v>
      </c>
      <c r="D29" s="2" t="str">
        <f t="shared" si="0"/>
        <v>09h</v>
      </c>
      <c r="E29" t="s">
        <v>6</v>
      </c>
      <c r="F29" t="str">
        <f>VLOOKUP(E29,dimensao_bairro!A:B,2,FALSE)</f>
        <v>Portão</v>
      </c>
      <c r="G29" t="s">
        <v>38</v>
      </c>
      <c r="H29" s="5">
        <v>7.3</v>
      </c>
      <c r="I29" s="5">
        <v>2.1</v>
      </c>
      <c r="J29" t="str">
        <f t="shared" si="1"/>
        <v>Média</v>
      </c>
      <c r="M29" t="str">
        <f>VLOOKUP(E29,dimensao_bairro!A:B,2,FALSE)</f>
        <v>Portão</v>
      </c>
      <c r="O29" t="str">
        <f>INDEX(dimensao_bairro!B:B,MATCH(tabela_origem!E29,dimensao_bairro!A:A,0))</f>
        <v>Portão</v>
      </c>
      <c r="P29" t="str">
        <f t="shared" si="2"/>
        <v>MÉDIO</v>
      </c>
    </row>
    <row r="30" spans="1:16" x14ac:dyDescent="0.25">
      <c r="A30" s="1">
        <v>46086</v>
      </c>
      <c r="B30" s="1" t="s">
        <v>42</v>
      </c>
      <c r="C30" s="2">
        <v>0.3659722222222222</v>
      </c>
      <c r="D30" s="2" t="str">
        <f t="shared" si="0"/>
        <v>08h</v>
      </c>
      <c r="E30" t="s">
        <v>36</v>
      </c>
      <c r="F30" t="str">
        <f>VLOOKUP(E30,dimensao_bairro!A:B,2,FALSE)</f>
        <v>Portão</v>
      </c>
      <c r="G30" t="s">
        <v>36</v>
      </c>
      <c r="H30" s="5">
        <v>6.6</v>
      </c>
      <c r="I30" s="5">
        <v>1.9</v>
      </c>
      <c r="J30" t="str">
        <f t="shared" si="1"/>
        <v>Curta</v>
      </c>
      <c r="M30" t="str">
        <f>VLOOKUP(E30,dimensao_bairro!A:B,2,FALSE)</f>
        <v>Portão</v>
      </c>
      <c r="O30" t="str">
        <f>INDEX(dimensao_bairro!B:B,MATCH(tabela_origem!E30,dimensao_bairro!A:A,0))</f>
        <v>Portão</v>
      </c>
      <c r="P30" t="str">
        <f t="shared" si="2"/>
        <v>BAIXO</v>
      </c>
    </row>
    <row r="31" spans="1:16" x14ac:dyDescent="0.25">
      <c r="A31" s="1">
        <v>46086</v>
      </c>
      <c r="B31" s="1" t="s">
        <v>42</v>
      </c>
      <c r="C31" s="2">
        <v>0.36319444444444443</v>
      </c>
      <c r="D31" s="2" t="str">
        <f t="shared" si="0"/>
        <v>08h</v>
      </c>
      <c r="E31" t="s">
        <v>9</v>
      </c>
      <c r="F31" t="str">
        <f>VLOOKUP(E31,dimensao_bairro!A:B,2,FALSE)</f>
        <v>Portão</v>
      </c>
      <c r="G31" t="s">
        <v>9</v>
      </c>
      <c r="H31" s="5">
        <v>6.5</v>
      </c>
      <c r="I31" s="5">
        <v>1.4</v>
      </c>
      <c r="J31" t="str">
        <f t="shared" si="1"/>
        <v>Curta</v>
      </c>
      <c r="M31" t="str">
        <f>VLOOKUP(E31,dimensao_bairro!A:B,2,FALSE)</f>
        <v>Portão</v>
      </c>
      <c r="O31" t="str">
        <f>INDEX(dimensao_bairro!B:B,MATCH(tabela_origem!E31,dimensao_bairro!A:A,0))</f>
        <v>Portão</v>
      </c>
      <c r="P31" t="str">
        <f t="shared" si="2"/>
        <v>BAIXO</v>
      </c>
    </row>
    <row r="32" spans="1:16" x14ac:dyDescent="0.25">
      <c r="A32" s="1">
        <v>46087</v>
      </c>
      <c r="B32" s="1" t="s">
        <v>42</v>
      </c>
      <c r="C32" s="2">
        <v>0.31180555555555556</v>
      </c>
      <c r="D32" s="2" t="str">
        <f t="shared" si="0"/>
        <v>07h</v>
      </c>
      <c r="E32" t="s">
        <v>8</v>
      </c>
      <c r="F32" t="str">
        <f>VLOOKUP(E32,dimensao_bairro!A:B,2,FALSE)</f>
        <v>Portão</v>
      </c>
      <c r="G32" t="s">
        <v>36</v>
      </c>
      <c r="H32" s="5">
        <v>17</v>
      </c>
      <c r="I32" s="5">
        <v>4.5999999999999996</v>
      </c>
      <c r="J32" t="str">
        <f t="shared" si="1"/>
        <v>Longa</v>
      </c>
      <c r="M32" t="str">
        <f>VLOOKUP(E32,dimensao_bairro!A:B,2,FALSE)</f>
        <v>Portão</v>
      </c>
      <c r="O32" t="str">
        <f>INDEX(dimensao_bairro!B:B,MATCH(tabela_origem!E32,dimensao_bairro!A:A,0))</f>
        <v>Portão</v>
      </c>
      <c r="P32" t="str">
        <f t="shared" si="2"/>
        <v>ALTO</v>
      </c>
    </row>
    <row r="33" spans="1:16" x14ac:dyDescent="0.25">
      <c r="A33" s="1">
        <v>46087</v>
      </c>
      <c r="B33" s="1" t="s">
        <v>42</v>
      </c>
      <c r="C33" s="2">
        <v>0.3263888888888889</v>
      </c>
      <c r="D33" s="2" t="str">
        <f t="shared" si="0"/>
        <v>07h</v>
      </c>
      <c r="E33" t="s">
        <v>9</v>
      </c>
      <c r="F33" t="str">
        <f>VLOOKUP(E33,dimensao_bairro!A:B,2,FALSE)</f>
        <v>Portão</v>
      </c>
      <c r="G33" t="s">
        <v>6</v>
      </c>
      <c r="H33" s="5">
        <v>12.5</v>
      </c>
      <c r="I33" s="5">
        <v>2.2000000000000002</v>
      </c>
      <c r="J33" t="str">
        <f t="shared" si="1"/>
        <v>Média</v>
      </c>
      <c r="M33" t="str">
        <f>VLOOKUP(E33,dimensao_bairro!A:B,2,FALSE)</f>
        <v>Portão</v>
      </c>
      <c r="O33" t="str">
        <f>INDEX(dimensao_bairro!B:B,MATCH(tabela_origem!E33,dimensao_bairro!A:A,0))</f>
        <v>Portão</v>
      </c>
      <c r="P33" t="str">
        <f t="shared" si="2"/>
        <v>ALTO</v>
      </c>
    </row>
    <row r="34" spans="1:16" x14ac:dyDescent="0.25">
      <c r="A34" s="1">
        <v>46087</v>
      </c>
      <c r="B34" s="1" t="s">
        <v>42</v>
      </c>
      <c r="C34" s="2">
        <v>0.3354166666666667</v>
      </c>
      <c r="D34" s="2" t="str">
        <f t="shared" si="0"/>
        <v>08h</v>
      </c>
      <c r="E34" t="s">
        <v>9</v>
      </c>
      <c r="F34" t="str">
        <f>VLOOKUP(E34,dimensao_bairro!A:B,2,FALSE)</f>
        <v>Portão</v>
      </c>
      <c r="G34" t="s">
        <v>10</v>
      </c>
      <c r="H34" s="5">
        <v>10.7</v>
      </c>
      <c r="I34" s="5">
        <v>4.2</v>
      </c>
      <c r="J34" t="str">
        <f t="shared" si="1"/>
        <v>Longa</v>
      </c>
      <c r="M34" t="str">
        <f>VLOOKUP(E34,dimensao_bairro!A:B,2,FALSE)</f>
        <v>Portão</v>
      </c>
      <c r="O34" t="str">
        <f>INDEX(dimensao_bairro!B:B,MATCH(tabela_origem!E34,dimensao_bairro!A:A,0))</f>
        <v>Portão</v>
      </c>
      <c r="P34" t="str">
        <f t="shared" si="2"/>
        <v>ALTO</v>
      </c>
    </row>
    <row r="35" spans="1:16" x14ac:dyDescent="0.25">
      <c r="A35" s="1">
        <v>46087</v>
      </c>
      <c r="B35" s="1" t="s">
        <v>42</v>
      </c>
      <c r="C35" s="2">
        <v>0.3444444444444445</v>
      </c>
      <c r="D35" s="2" t="str">
        <f t="shared" si="0"/>
        <v>08h</v>
      </c>
      <c r="E35" t="s">
        <v>6</v>
      </c>
      <c r="F35" t="str">
        <f>VLOOKUP(E35,dimensao_bairro!A:B,2,FALSE)</f>
        <v>Portão</v>
      </c>
      <c r="G35" t="s">
        <v>6</v>
      </c>
      <c r="H35" s="5">
        <v>9.1999999999999993</v>
      </c>
      <c r="I35" s="5">
        <v>4.3</v>
      </c>
      <c r="J35" t="str">
        <f t="shared" si="1"/>
        <v>Longa</v>
      </c>
      <c r="M35" t="str">
        <f>VLOOKUP(E35,dimensao_bairro!A:B,2,FALSE)</f>
        <v>Portão</v>
      </c>
      <c r="O35" t="str">
        <f>INDEX(dimensao_bairro!B:B,MATCH(tabela_origem!E35,dimensao_bairro!A:A,0))</f>
        <v>Portão</v>
      </c>
      <c r="P35" t="str">
        <f t="shared" si="2"/>
        <v>MÉDIO</v>
      </c>
    </row>
    <row r="36" spans="1:16" x14ac:dyDescent="0.25">
      <c r="A36" s="1">
        <v>46087</v>
      </c>
      <c r="B36" s="1" t="s">
        <v>42</v>
      </c>
      <c r="C36" s="2">
        <v>0.31875000000000003</v>
      </c>
      <c r="D36" s="2" t="str">
        <f t="shared" si="0"/>
        <v>07h</v>
      </c>
      <c r="E36" t="s">
        <v>9</v>
      </c>
      <c r="F36" t="str">
        <f>VLOOKUP(E36,dimensao_bairro!A:B,2,FALSE)</f>
        <v>Portão</v>
      </c>
      <c r="G36" t="s">
        <v>9</v>
      </c>
      <c r="H36" s="5">
        <v>7.5</v>
      </c>
      <c r="I36" s="5">
        <v>2.1</v>
      </c>
      <c r="J36" t="str">
        <f t="shared" si="1"/>
        <v>Média</v>
      </c>
      <c r="M36" t="str">
        <f>VLOOKUP(E36,dimensao_bairro!A:B,2,FALSE)</f>
        <v>Portão</v>
      </c>
      <c r="O36" t="str">
        <f>INDEX(dimensao_bairro!B:B,MATCH(tabela_origem!E36,dimensao_bairro!A:A,0))</f>
        <v>Portão</v>
      </c>
      <c r="P36" t="str">
        <f t="shared" si="2"/>
        <v>MÉDIO</v>
      </c>
    </row>
    <row r="37" spans="1:16" x14ac:dyDescent="0.25">
      <c r="A37" s="1">
        <v>46087</v>
      </c>
      <c r="B37" s="1" t="s">
        <v>42</v>
      </c>
      <c r="C37" s="2">
        <v>0.35972222222222222</v>
      </c>
      <c r="D37" s="2" t="str">
        <f t="shared" si="0"/>
        <v>08h</v>
      </c>
      <c r="E37" t="s">
        <v>5</v>
      </c>
      <c r="F37" t="str">
        <f>VLOOKUP(E37,dimensao_bairro!A:B,2,FALSE)</f>
        <v>Portão</v>
      </c>
      <c r="G37" t="s">
        <v>9</v>
      </c>
      <c r="H37" s="5">
        <v>7.3</v>
      </c>
      <c r="I37" s="5">
        <v>3.8</v>
      </c>
      <c r="J37" t="str">
        <f t="shared" si="1"/>
        <v>Média</v>
      </c>
      <c r="M37" t="str">
        <f>VLOOKUP(E37,dimensao_bairro!A:B,2,FALSE)</f>
        <v>Portão</v>
      </c>
      <c r="O37" t="str">
        <f>INDEX(dimensao_bairro!B:B,MATCH(tabela_origem!E37,dimensao_bairro!A:A,0))</f>
        <v>Portão</v>
      </c>
      <c r="P37" t="str">
        <f t="shared" si="2"/>
        <v>MÉDIO</v>
      </c>
    </row>
    <row r="38" spans="1:16" x14ac:dyDescent="0.25">
      <c r="A38" s="1">
        <v>46087</v>
      </c>
      <c r="B38" s="1" t="s">
        <v>42</v>
      </c>
      <c r="C38" s="2">
        <v>0.3972222222222222</v>
      </c>
      <c r="D38" s="2" t="str">
        <f t="shared" si="0"/>
        <v>09h</v>
      </c>
      <c r="E38" t="s">
        <v>9</v>
      </c>
      <c r="F38" t="str">
        <f>VLOOKUP(E38,dimensao_bairro!A:B,2,FALSE)</f>
        <v>Portão</v>
      </c>
      <c r="G38" t="s">
        <v>5</v>
      </c>
      <c r="H38" s="5">
        <v>6.6</v>
      </c>
      <c r="I38" s="5">
        <v>1.6</v>
      </c>
      <c r="J38" t="str">
        <f t="shared" si="1"/>
        <v>Curta</v>
      </c>
      <c r="M38" t="str">
        <f>VLOOKUP(E38,dimensao_bairro!A:B,2,FALSE)</f>
        <v>Portão</v>
      </c>
      <c r="O38" t="str">
        <f>INDEX(dimensao_bairro!B:B,MATCH(tabela_origem!E38,dimensao_bairro!A:A,0))</f>
        <v>Portão</v>
      </c>
      <c r="P38" t="str">
        <f t="shared" si="2"/>
        <v>BAIXO</v>
      </c>
    </row>
    <row r="39" spans="1:16" x14ac:dyDescent="0.25">
      <c r="A39" s="1">
        <v>46087</v>
      </c>
      <c r="B39" s="1" t="s">
        <v>42</v>
      </c>
      <c r="C39" s="2">
        <v>0.35833333333333334</v>
      </c>
      <c r="D39" s="2" t="str">
        <f t="shared" si="0"/>
        <v>08h</v>
      </c>
      <c r="E39" t="s">
        <v>9</v>
      </c>
      <c r="F39" t="str">
        <f>VLOOKUP(E39,dimensao_bairro!A:B,2,FALSE)</f>
        <v>Portão</v>
      </c>
      <c r="G39" t="s">
        <v>9</v>
      </c>
      <c r="H39" s="5">
        <v>6.5</v>
      </c>
      <c r="I39" s="5">
        <v>1.9</v>
      </c>
      <c r="J39" t="str">
        <f t="shared" si="1"/>
        <v>Curta</v>
      </c>
      <c r="M39" t="str">
        <f>VLOOKUP(E39,dimensao_bairro!A:B,2,FALSE)</f>
        <v>Portão</v>
      </c>
      <c r="O39" t="str">
        <f>INDEX(dimensao_bairro!B:B,MATCH(tabela_origem!E39,dimensao_bairro!A:A,0))</f>
        <v>Portão</v>
      </c>
      <c r="P39" t="str">
        <f t="shared" si="2"/>
        <v>BAIXO</v>
      </c>
    </row>
    <row r="40" spans="1:16" x14ac:dyDescent="0.25">
      <c r="A40" s="1">
        <v>46087</v>
      </c>
      <c r="B40" s="1" t="s">
        <v>42</v>
      </c>
      <c r="C40" s="2">
        <v>0.38125000000000003</v>
      </c>
      <c r="D40" s="2" t="str">
        <f t="shared" si="0"/>
        <v>09h</v>
      </c>
      <c r="E40" t="s">
        <v>9</v>
      </c>
      <c r="F40" t="str">
        <f>VLOOKUP(E40,dimensao_bairro!A:B,2,FALSE)</f>
        <v>Portão</v>
      </c>
      <c r="G40" t="s">
        <v>36</v>
      </c>
      <c r="H40" s="5">
        <v>6.5</v>
      </c>
      <c r="I40" s="5">
        <v>2.2000000000000002</v>
      </c>
      <c r="J40" t="str">
        <f t="shared" si="1"/>
        <v>Média</v>
      </c>
      <c r="M40" t="str">
        <f>VLOOKUP(E40,dimensao_bairro!A:B,2,FALSE)</f>
        <v>Portão</v>
      </c>
      <c r="O40" t="str">
        <f>INDEX(dimensao_bairro!B:B,MATCH(tabela_origem!E40,dimensao_bairro!A:A,0))</f>
        <v>Portão</v>
      </c>
      <c r="P40" t="str">
        <f t="shared" si="2"/>
        <v>BAIXO</v>
      </c>
    </row>
    <row r="41" spans="1:16" x14ac:dyDescent="0.25">
      <c r="A41" s="1">
        <v>46087</v>
      </c>
      <c r="B41" s="1" t="s">
        <v>42</v>
      </c>
      <c r="C41" s="2">
        <v>0.38680555555555557</v>
      </c>
      <c r="D41" s="2" t="str">
        <f t="shared" si="0"/>
        <v>09h</v>
      </c>
      <c r="E41" t="s">
        <v>9</v>
      </c>
      <c r="F41" t="str">
        <f>VLOOKUP(E41,dimensao_bairro!A:B,2,FALSE)</f>
        <v>Portão</v>
      </c>
      <c r="G41" t="s">
        <v>9</v>
      </c>
      <c r="H41" s="5">
        <v>6.5</v>
      </c>
      <c r="I41" s="5">
        <v>1.6</v>
      </c>
      <c r="J41" t="str">
        <f t="shared" si="1"/>
        <v>Curta</v>
      </c>
      <c r="M41" t="str">
        <f>VLOOKUP(E41,dimensao_bairro!A:B,2,FALSE)</f>
        <v>Portão</v>
      </c>
      <c r="O41" t="str">
        <f>INDEX(dimensao_bairro!B:B,MATCH(tabela_origem!E41,dimensao_bairro!A:A,0))</f>
        <v>Portão</v>
      </c>
      <c r="P41" t="str">
        <f t="shared" si="2"/>
        <v>BAIXO</v>
      </c>
    </row>
    <row r="42" spans="1:16" x14ac:dyDescent="0.25">
      <c r="A42" s="1">
        <v>46087</v>
      </c>
      <c r="B42" s="1" t="s">
        <v>42</v>
      </c>
      <c r="C42" s="2">
        <v>0.3923611111111111</v>
      </c>
      <c r="D42" s="2" t="str">
        <f t="shared" si="0"/>
        <v>09h</v>
      </c>
      <c r="E42" t="s">
        <v>9</v>
      </c>
      <c r="F42" t="str">
        <f>VLOOKUP(E42,dimensao_bairro!A:B,2,FALSE)</f>
        <v>Portão</v>
      </c>
      <c r="G42" t="s">
        <v>13</v>
      </c>
      <c r="H42" s="5">
        <v>6.5</v>
      </c>
      <c r="I42" s="5">
        <v>1</v>
      </c>
      <c r="J42" t="str">
        <f t="shared" si="1"/>
        <v>Curta</v>
      </c>
      <c r="M42" t="str">
        <f>VLOOKUP(E42,dimensao_bairro!A:B,2,FALSE)</f>
        <v>Portão</v>
      </c>
      <c r="O42" t="str">
        <f>INDEX(dimensao_bairro!B:B,MATCH(tabela_origem!E42,dimensao_bairro!A:A,0))</f>
        <v>Portão</v>
      </c>
      <c r="P42" t="str">
        <f t="shared" si="2"/>
        <v>BAIXO</v>
      </c>
    </row>
    <row r="43" spans="1:16" x14ac:dyDescent="0.25">
      <c r="A43" s="1">
        <v>46087</v>
      </c>
      <c r="B43" s="1" t="s">
        <v>42</v>
      </c>
      <c r="C43" s="2">
        <v>0.40902777777777777</v>
      </c>
      <c r="D43" s="2" t="str">
        <f t="shared" si="0"/>
        <v>09h</v>
      </c>
      <c r="E43" t="s">
        <v>9</v>
      </c>
      <c r="F43" t="str">
        <f>VLOOKUP(E43,dimensao_bairro!A:B,2,FALSE)</f>
        <v>Portão</v>
      </c>
      <c r="G43" t="s">
        <v>13</v>
      </c>
      <c r="H43" s="5">
        <v>6.5</v>
      </c>
      <c r="I43" s="5">
        <v>1.7</v>
      </c>
      <c r="J43" t="str">
        <f t="shared" si="1"/>
        <v>Curta</v>
      </c>
      <c r="M43" t="str">
        <f>VLOOKUP(E43,dimensao_bairro!A:B,2,FALSE)</f>
        <v>Portão</v>
      </c>
      <c r="O43" t="str">
        <f>INDEX(dimensao_bairro!B:B,MATCH(tabela_origem!E43,dimensao_bairro!A:A,0))</f>
        <v>Portão</v>
      </c>
      <c r="P43" t="str">
        <f t="shared" si="2"/>
        <v>BAIXO</v>
      </c>
    </row>
    <row r="44" spans="1:16" x14ac:dyDescent="0.25">
      <c r="A44" s="1">
        <v>46090</v>
      </c>
      <c r="B44" s="1" t="s">
        <v>42</v>
      </c>
      <c r="C44" s="2">
        <v>0.33194444444444443</v>
      </c>
      <c r="D44" s="2" t="str">
        <f t="shared" si="0"/>
        <v>07h</v>
      </c>
      <c r="E44" t="s">
        <v>27</v>
      </c>
      <c r="F44" t="str">
        <f>VLOOKUP(E44,dimensao_bairro!A:B,2,FALSE)</f>
        <v>Pinheirinho</v>
      </c>
      <c r="G44" t="s">
        <v>26</v>
      </c>
      <c r="H44" s="5">
        <v>42.1</v>
      </c>
      <c r="I44" s="5">
        <v>10.1</v>
      </c>
      <c r="J44" t="str">
        <f t="shared" si="1"/>
        <v>Longa</v>
      </c>
      <c r="M44" t="str">
        <f>VLOOKUP(E44,dimensao_bairro!A:B,2,FALSE)</f>
        <v>Pinheirinho</v>
      </c>
      <c r="O44" t="str">
        <f>INDEX(dimensao_bairro!B:B,MATCH(tabela_origem!E44,dimensao_bairro!A:A,0))</f>
        <v>Pinheirinho</v>
      </c>
      <c r="P44" t="str">
        <f t="shared" si="2"/>
        <v>ALTO</v>
      </c>
    </row>
    <row r="45" spans="1:16" x14ac:dyDescent="0.25">
      <c r="A45" s="1">
        <v>46090</v>
      </c>
      <c r="B45" s="1" t="s">
        <v>42</v>
      </c>
      <c r="C45" s="2">
        <v>0.32569444444444445</v>
      </c>
      <c r="D45" s="2" t="str">
        <f t="shared" si="0"/>
        <v>07h</v>
      </c>
      <c r="E45" t="s">
        <v>27</v>
      </c>
      <c r="F45" t="str">
        <f>VLOOKUP(E45,dimensao_bairro!A:B,2,FALSE)</f>
        <v>Pinheirinho</v>
      </c>
      <c r="G45" t="s">
        <v>13</v>
      </c>
      <c r="H45" s="5">
        <v>18.3</v>
      </c>
      <c r="I45" s="5">
        <v>1.3</v>
      </c>
      <c r="J45" t="str">
        <f t="shared" si="1"/>
        <v>Curta</v>
      </c>
      <c r="M45" t="str">
        <f>VLOOKUP(E45,dimensao_bairro!A:B,2,FALSE)</f>
        <v>Pinheirinho</v>
      </c>
      <c r="O45" t="str">
        <f>INDEX(dimensao_bairro!B:B,MATCH(tabela_origem!E45,dimensao_bairro!A:A,0))</f>
        <v>Pinheirinho</v>
      </c>
      <c r="P45" t="str">
        <f t="shared" si="2"/>
        <v>ALTO</v>
      </c>
    </row>
    <row r="46" spans="1:16" x14ac:dyDescent="0.25">
      <c r="A46" s="1">
        <v>46090</v>
      </c>
      <c r="B46" s="1" t="s">
        <v>42</v>
      </c>
      <c r="C46" s="2">
        <v>0.38055555555555554</v>
      </c>
      <c r="D46" s="2" t="str">
        <f t="shared" si="0"/>
        <v>09h</v>
      </c>
      <c r="E46" t="s">
        <v>20</v>
      </c>
      <c r="F46" t="str">
        <f>VLOOKUP(E46,dimensao_bairro!A:B,2,FALSE)</f>
        <v>Matriz</v>
      </c>
      <c r="G46" t="s">
        <v>13</v>
      </c>
      <c r="H46" s="5">
        <v>7.7</v>
      </c>
      <c r="I46" s="5">
        <v>2.4</v>
      </c>
      <c r="J46" t="str">
        <f t="shared" si="1"/>
        <v>Média</v>
      </c>
      <c r="M46" t="str">
        <f>VLOOKUP(E46,dimensao_bairro!A:B,2,FALSE)</f>
        <v>Matriz</v>
      </c>
      <c r="O46" t="str">
        <f>INDEX(dimensao_bairro!B:B,MATCH(tabela_origem!E46,dimensao_bairro!A:A,0))</f>
        <v>Matriz</v>
      </c>
      <c r="P46" t="str">
        <f t="shared" si="2"/>
        <v>MÉDIO</v>
      </c>
    </row>
    <row r="47" spans="1:16" x14ac:dyDescent="0.25">
      <c r="A47" s="1">
        <v>46090</v>
      </c>
      <c r="B47" s="1" t="s">
        <v>42</v>
      </c>
      <c r="C47" s="2">
        <v>0.37083333333333335</v>
      </c>
      <c r="D47" s="2" t="str">
        <f t="shared" si="0"/>
        <v>08h</v>
      </c>
      <c r="E47" t="s">
        <v>13</v>
      </c>
      <c r="F47" t="str">
        <f>VLOOKUP(E47,dimensao_bairro!A:B,2,FALSE)</f>
        <v>Matriz</v>
      </c>
      <c r="G47" t="s">
        <v>9</v>
      </c>
      <c r="H47" s="5">
        <v>6.6</v>
      </c>
      <c r="I47" s="5">
        <v>2.2999999999999998</v>
      </c>
      <c r="J47" t="str">
        <f t="shared" si="1"/>
        <v>Média</v>
      </c>
      <c r="M47" t="str">
        <f>VLOOKUP(E47,dimensao_bairro!A:B,2,FALSE)</f>
        <v>Matriz</v>
      </c>
      <c r="O47" t="str">
        <f>INDEX(dimensao_bairro!B:B,MATCH(tabela_origem!E47,dimensao_bairro!A:A,0))</f>
        <v>Matriz</v>
      </c>
      <c r="P47" t="str">
        <f t="shared" si="2"/>
        <v>BAIXO</v>
      </c>
    </row>
    <row r="48" spans="1:16" x14ac:dyDescent="0.25">
      <c r="A48" s="1">
        <v>46090</v>
      </c>
      <c r="B48" s="1" t="s">
        <v>42</v>
      </c>
      <c r="C48" s="2">
        <v>0.41666666666666669</v>
      </c>
      <c r="D48" s="2" t="str">
        <f t="shared" si="0"/>
        <v>10h</v>
      </c>
      <c r="E48" t="s">
        <v>9</v>
      </c>
      <c r="F48" t="str">
        <f>VLOOKUP(E48,dimensao_bairro!A:B,2,FALSE)</f>
        <v>Portão</v>
      </c>
      <c r="G48" t="s">
        <v>13</v>
      </c>
      <c r="H48" s="5">
        <v>6.5</v>
      </c>
      <c r="I48" s="5">
        <v>2.5</v>
      </c>
      <c r="J48" t="str">
        <f t="shared" si="1"/>
        <v>Média</v>
      </c>
      <c r="M48" t="str">
        <f>VLOOKUP(E48,dimensao_bairro!A:B,2,FALSE)</f>
        <v>Portão</v>
      </c>
      <c r="O48" t="str">
        <f>INDEX(dimensao_bairro!B:B,MATCH(tabela_origem!E48,dimensao_bairro!A:A,0))</f>
        <v>Portão</v>
      </c>
      <c r="P48" t="str">
        <f t="shared" si="2"/>
        <v>BAIXO</v>
      </c>
    </row>
    <row r="49" spans="1:16" x14ac:dyDescent="0.25">
      <c r="A49" s="1">
        <v>46090</v>
      </c>
      <c r="B49" s="1" t="s">
        <v>42</v>
      </c>
      <c r="C49" s="2">
        <v>0.36180555555555555</v>
      </c>
      <c r="D49" s="2" t="str">
        <f t="shared" si="0"/>
        <v>08h</v>
      </c>
      <c r="E49" t="s">
        <v>13</v>
      </c>
      <c r="F49" t="str">
        <f>VLOOKUP(E49,dimensao_bairro!A:B,2,FALSE)</f>
        <v>Matriz</v>
      </c>
      <c r="G49" t="s">
        <v>12</v>
      </c>
      <c r="H49" s="5">
        <v>6.5</v>
      </c>
      <c r="I49" s="5">
        <v>2.2999999999999998</v>
      </c>
      <c r="J49" t="str">
        <f t="shared" si="1"/>
        <v>Média</v>
      </c>
      <c r="M49" t="str">
        <f>VLOOKUP(E49,dimensao_bairro!A:B,2,FALSE)</f>
        <v>Matriz</v>
      </c>
      <c r="O49" t="str">
        <f>INDEX(dimensao_bairro!B:B,MATCH(tabela_origem!E49,dimensao_bairro!A:A,0))</f>
        <v>Matriz</v>
      </c>
      <c r="P49" t="str">
        <f t="shared" si="2"/>
        <v>BAIXO</v>
      </c>
    </row>
    <row r="50" spans="1:16" x14ac:dyDescent="0.25">
      <c r="A50" s="1">
        <v>46091</v>
      </c>
      <c r="B50" s="1" t="s">
        <v>42</v>
      </c>
      <c r="C50" s="2">
        <v>0.39930555555555558</v>
      </c>
      <c r="D50" s="2" t="str">
        <f t="shared" si="0"/>
        <v>09h</v>
      </c>
      <c r="E50" t="s">
        <v>15</v>
      </c>
      <c r="F50" t="str">
        <f>VLOOKUP(E50,dimensao_bairro!A:B,2,FALSE)</f>
        <v>Boqueirão</v>
      </c>
      <c r="G50" t="s">
        <v>11</v>
      </c>
      <c r="H50" s="5">
        <v>16.600000000000001</v>
      </c>
      <c r="I50" s="5">
        <v>8.3000000000000007</v>
      </c>
      <c r="J50" t="str">
        <f t="shared" si="1"/>
        <v>Longa</v>
      </c>
      <c r="M50" t="str">
        <f>VLOOKUP(E50,dimensao_bairro!A:B,2,FALSE)</f>
        <v>Boqueirão</v>
      </c>
      <c r="O50" t="str">
        <f>INDEX(dimensao_bairro!B:B,MATCH(tabela_origem!E50,dimensao_bairro!A:A,0))</f>
        <v>Boqueirão</v>
      </c>
      <c r="P50" t="str">
        <f t="shared" si="2"/>
        <v>ALTO</v>
      </c>
    </row>
    <row r="51" spans="1:16" x14ac:dyDescent="0.25">
      <c r="A51" s="1">
        <v>46091</v>
      </c>
      <c r="B51" s="1" t="s">
        <v>42</v>
      </c>
      <c r="C51" s="2">
        <v>0.34166666666666662</v>
      </c>
      <c r="D51" s="2" t="str">
        <f t="shared" si="0"/>
        <v>08h</v>
      </c>
      <c r="E51" t="s">
        <v>11</v>
      </c>
      <c r="F51" t="str">
        <f>VLOOKUP(E51,dimensao_bairro!A:B,2,FALSE)</f>
        <v>Boqueirão</v>
      </c>
      <c r="G51" t="s">
        <v>15</v>
      </c>
      <c r="H51" s="5">
        <v>8.8000000000000007</v>
      </c>
      <c r="I51" s="5">
        <v>8.8000000000000007</v>
      </c>
      <c r="J51" t="str">
        <f t="shared" si="1"/>
        <v>Longa</v>
      </c>
      <c r="M51" t="str">
        <f>VLOOKUP(E51,dimensao_bairro!A:B,2,FALSE)</f>
        <v>Boqueirão</v>
      </c>
      <c r="O51" t="str">
        <f>INDEX(dimensao_bairro!B:B,MATCH(tabela_origem!E51,dimensao_bairro!A:A,0))</f>
        <v>Boqueirão</v>
      </c>
      <c r="P51" t="str">
        <f t="shared" si="2"/>
        <v>MÉDIO</v>
      </c>
    </row>
    <row r="52" spans="1:16" x14ac:dyDescent="0.25">
      <c r="A52" s="1">
        <v>46091</v>
      </c>
      <c r="B52" s="1" t="s">
        <v>42</v>
      </c>
      <c r="C52" s="2">
        <v>0.38541666666666669</v>
      </c>
      <c r="D52" s="2" t="str">
        <f t="shared" si="0"/>
        <v>09h</v>
      </c>
      <c r="E52" t="s">
        <v>15</v>
      </c>
      <c r="F52" t="str">
        <f>VLOOKUP(E52,dimensao_bairro!A:B,2,FALSE)</f>
        <v>Boqueirão</v>
      </c>
      <c r="G52" t="s">
        <v>15</v>
      </c>
      <c r="H52" s="5">
        <v>7.7</v>
      </c>
      <c r="I52" s="5">
        <v>3.7</v>
      </c>
      <c r="J52" t="str">
        <f t="shared" si="1"/>
        <v>Média</v>
      </c>
      <c r="M52" t="str">
        <f>VLOOKUP(E52,dimensao_bairro!A:B,2,FALSE)</f>
        <v>Boqueirão</v>
      </c>
      <c r="O52" t="str">
        <f>INDEX(dimensao_bairro!B:B,MATCH(tabela_origem!E52,dimensao_bairro!A:A,0))</f>
        <v>Boqueirão</v>
      </c>
      <c r="P52" t="str">
        <f t="shared" si="2"/>
        <v>MÉDIO</v>
      </c>
    </row>
    <row r="53" spans="1:16" x14ac:dyDescent="0.25">
      <c r="A53" s="1">
        <v>46091</v>
      </c>
      <c r="B53" s="1" t="s">
        <v>42</v>
      </c>
      <c r="C53" s="2">
        <v>0.31805555555555554</v>
      </c>
      <c r="D53" s="2" t="str">
        <f t="shared" si="0"/>
        <v>07h</v>
      </c>
      <c r="E53" t="s">
        <v>11</v>
      </c>
      <c r="F53" t="str">
        <f>VLOOKUP(E53,dimensao_bairro!A:B,2,FALSE)</f>
        <v>Boqueirão</v>
      </c>
      <c r="G53" t="s">
        <v>11</v>
      </c>
      <c r="H53" s="5">
        <v>6.8</v>
      </c>
      <c r="I53" s="5">
        <v>1.7</v>
      </c>
      <c r="J53" t="str">
        <f t="shared" si="1"/>
        <v>Curta</v>
      </c>
      <c r="M53" t="str">
        <f>VLOOKUP(E53,dimensao_bairro!A:B,2,FALSE)</f>
        <v>Boqueirão</v>
      </c>
      <c r="O53" t="str">
        <f>INDEX(dimensao_bairro!B:B,MATCH(tabela_origem!E53,dimensao_bairro!A:A,0))</f>
        <v>Boqueirão</v>
      </c>
      <c r="P53" t="str">
        <f t="shared" si="2"/>
        <v>BAIXO</v>
      </c>
    </row>
    <row r="54" spans="1:16" x14ac:dyDescent="0.25">
      <c r="A54" s="1">
        <v>46091</v>
      </c>
      <c r="B54" s="1" t="s">
        <v>42</v>
      </c>
      <c r="C54" s="2">
        <v>0.3215277777777778</v>
      </c>
      <c r="D54" s="2" t="str">
        <f t="shared" si="0"/>
        <v>07h</v>
      </c>
      <c r="E54" t="s">
        <v>15</v>
      </c>
      <c r="F54" t="str">
        <f>VLOOKUP(E54,dimensao_bairro!A:B,2,FALSE)</f>
        <v>Boqueirão</v>
      </c>
      <c r="G54" t="s">
        <v>11</v>
      </c>
      <c r="H54" s="5">
        <v>6.6</v>
      </c>
      <c r="I54" s="5">
        <v>1.6</v>
      </c>
      <c r="J54" t="str">
        <f t="shared" si="1"/>
        <v>Curta</v>
      </c>
      <c r="M54" t="str">
        <f>VLOOKUP(E54,dimensao_bairro!A:B,2,FALSE)</f>
        <v>Boqueirão</v>
      </c>
      <c r="O54" t="str">
        <f>INDEX(dimensao_bairro!B:B,MATCH(tabela_origem!E54,dimensao_bairro!A:A,0))</f>
        <v>Boqueirão</v>
      </c>
      <c r="P54" t="str">
        <f t="shared" si="2"/>
        <v>BAIXO</v>
      </c>
    </row>
    <row r="55" spans="1:16" x14ac:dyDescent="0.25">
      <c r="A55" s="1">
        <v>46091</v>
      </c>
      <c r="B55" s="1" t="s">
        <v>42</v>
      </c>
      <c r="C55" s="2">
        <v>0.36319444444444443</v>
      </c>
      <c r="D55" s="2" t="str">
        <f t="shared" si="0"/>
        <v>08h</v>
      </c>
      <c r="E55" t="s">
        <v>11</v>
      </c>
      <c r="F55" t="str">
        <f>VLOOKUP(E55,dimensao_bairro!A:B,2,FALSE)</f>
        <v>Boqueirão</v>
      </c>
      <c r="G55" t="s">
        <v>15</v>
      </c>
      <c r="H55" s="5">
        <v>6.5</v>
      </c>
      <c r="I55" s="5">
        <v>3</v>
      </c>
      <c r="J55" t="str">
        <f t="shared" si="1"/>
        <v>Média</v>
      </c>
      <c r="M55" t="str">
        <f>VLOOKUP(E55,dimensao_bairro!A:B,2,FALSE)</f>
        <v>Boqueirão</v>
      </c>
      <c r="O55" t="str">
        <f>INDEX(dimensao_bairro!B:B,MATCH(tabela_origem!E55,dimensao_bairro!A:A,0))</f>
        <v>Boqueirão</v>
      </c>
      <c r="P55" t="str">
        <f t="shared" si="2"/>
        <v>BAIXO</v>
      </c>
    </row>
    <row r="56" spans="1:16" x14ac:dyDescent="0.25">
      <c r="A56" s="1">
        <v>46091</v>
      </c>
      <c r="B56" s="1" t="s">
        <v>42</v>
      </c>
      <c r="C56" s="2">
        <v>0.3756944444444445</v>
      </c>
      <c r="D56" s="2" t="str">
        <f t="shared" si="0"/>
        <v>09h</v>
      </c>
      <c r="E56" t="s">
        <v>11</v>
      </c>
      <c r="F56" t="str">
        <f>VLOOKUP(E56,dimensao_bairro!A:B,2,FALSE)</f>
        <v>Boqueirão</v>
      </c>
      <c r="G56" t="s">
        <v>9</v>
      </c>
      <c r="H56" s="5">
        <v>6.5</v>
      </c>
      <c r="I56" s="5">
        <v>1.9</v>
      </c>
      <c r="J56" t="str">
        <f t="shared" si="1"/>
        <v>Curta</v>
      </c>
      <c r="M56" t="str">
        <f>VLOOKUP(E56,dimensao_bairro!A:B,2,FALSE)</f>
        <v>Boqueirão</v>
      </c>
      <c r="O56" t="str">
        <f>INDEX(dimensao_bairro!B:B,MATCH(tabela_origem!E56,dimensao_bairro!A:A,0))</f>
        <v>Boqueirão</v>
      </c>
      <c r="P56" t="str">
        <f t="shared" si="2"/>
        <v>BAIXO</v>
      </c>
    </row>
    <row r="57" spans="1:16" x14ac:dyDescent="0.25">
      <c r="A57" s="1">
        <v>46092</v>
      </c>
      <c r="B57" s="1" t="s">
        <v>42</v>
      </c>
      <c r="C57" s="2">
        <v>0.38611111111111113</v>
      </c>
      <c r="D57" s="2" t="str">
        <f t="shared" si="0"/>
        <v>09h</v>
      </c>
      <c r="E57" t="s">
        <v>5</v>
      </c>
      <c r="F57" t="str">
        <f>VLOOKUP(E57,dimensao_bairro!A:B,2,FALSE)</f>
        <v>Portão</v>
      </c>
      <c r="G57" t="s">
        <v>10</v>
      </c>
      <c r="H57" s="5">
        <v>10</v>
      </c>
      <c r="I57" s="5">
        <v>4.5</v>
      </c>
      <c r="J57" t="str">
        <f t="shared" si="1"/>
        <v>Longa</v>
      </c>
      <c r="M57" t="str">
        <f>VLOOKUP(E57,dimensao_bairro!A:B,2,FALSE)</f>
        <v>Portão</v>
      </c>
      <c r="O57" t="str">
        <f>INDEX(dimensao_bairro!B:B,MATCH(tabela_origem!E57,dimensao_bairro!A:A,0))</f>
        <v>Portão</v>
      </c>
      <c r="P57" t="str">
        <f t="shared" si="2"/>
        <v>MÉDIO</v>
      </c>
    </row>
    <row r="58" spans="1:16" x14ac:dyDescent="0.25">
      <c r="A58" s="1">
        <v>46092</v>
      </c>
      <c r="B58" s="1" t="s">
        <v>42</v>
      </c>
      <c r="C58" s="2">
        <v>0.32430555555555557</v>
      </c>
      <c r="D58" s="2" t="str">
        <f t="shared" si="0"/>
        <v>07h</v>
      </c>
      <c r="E58" t="s">
        <v>10</v>
      </c>
      <c r="F58" t="str">
        <f>VLOOKUP(E58,dimensao_bairro!A:B,2,FALSE)</f>
        <v>Portão</v>
      </c>
      <c r="G58" t="s">
        <v>33</v>
      </c>
      <c r="H58" s="5">
        <v>9.3000000000000007</v>
      </c>
      <c r="I58" s="5">
        <v>2</v>
      </c>
      <c r="J58" t="str">
        <f t="shared" si="1"/>
        <v>Curta</v>
      </c>
      <c r="M58" t="str">
        <f>VLOOKUP(E58,dimensao_bairro!A:B,2,FALSE)</f>
        <v>Portão</v>
      </c>
      <c r="O58" t="str">
        <f>INDEX(dimensao_bairro!B:B,MATCH(tabela_origem!E58,dimensao_bairro!A:A,0))</f>
        <v>Portão</v>
      </c>
      <c r="P58" t="str">
        <f t="shared" si="2"/>
        <v>MÉDIO</v>
      </c>
    </row>
    <row r="59" spans="1:16" x14ac:dyDescent="0.25">
      <c r="A59" s="1">
        <v>46092</v>
      </c>
      <c r="B59" s="1" t="s">
        <v>42</v>
      </c>
      <c r="C59" s="2">
        <v>0.39999999999999997</v>
      </c>
      <c r="D59" s="2" t="str">
        <f t="shared" si="0"/>
        <v>09h</v>
      </c>
      <c r="E59" t="s">
        <v>36</v>
      </c>
      <c r="F59" t="str">
        <f>VLOOKUP(E59,dimensao_bairro!A:B,2,FALSE)</f>
        <v>Portão</v>
      </c>
      <c r="G59" t="s">
        <v>11</v>
      </c>
      <c r="H59" s="5">
        <v>8.5</v>
      </c>
      <c r="I59" s="5">
        <v>2.6</v>
      </c>
      <c r="J59" t="str">
        <f t="shared" si="1"/>
        <v>Média</v>
      </c>
      <c r="M59" t="str">
        <f>VLOOKUP(E59,dimensao_bairro!A:B,2,FALSE)</f>
        <v>Portão</v>
      </c>
      <c r="O59" t="str">
        <f>INDEX(dimensao_bairro!B:B,MATCH(tabela_origem!E59,dimensao_bairro!A:A,0))</f>
        <v>Portão</v>
      </c>
      <c r="P59" t="str">
        <f t="shared" si="2"/>
        <v>MÉDIO</v>
      </c>
    </row>
    <row r="60" spans="1:16" x14ac:dyDescent="0.25">
      <c r="A60" s="1">
        <v>46092</v>
      </c>
      <c r="B60" s="1" t="s">
        <v>42</v>
      </c>
      <c r="C60" s="2">
        <v>0.3444444444444445</v>
      </c>
      <c r="D60" s="2" t="str">
        <f t="shared" si="0"/>
        <v>08h</v>
      </c>
      <c r="E60" t="s">
        <v>5</v>
      </c>
      <c r="F60" t="str">
        <f>VLOOKUP(E60,dimensao_bairro!A:B,2,FALSE)</f>
        <v>Portão</v>
      </c>
      <c r="G60" t="s">
        <v>10</v>
      </c>
      <c r="H60" s="5">
        <v>7.6</v>
      </c>
      <c r="I60" s="5">
        <v>3.1</v>
      </c>
      <c r="J60" t="str">
        <f t="shared" si="1"/>
        <v>Média</v>
      </c>
      <c r="M60" t="str">
        <f>VLOOKUP(E60,dimensao_bairro!A:B,2,FALSE)</f>
        <v>Portão</v>
      </c>
      <c r="O60" t="str">
        <f>INDEX(dimensao_bairro!B:B,MATCH(tabela_origem!E60,dimensao_bairro!A:A,0))</f>
        <v>Portão</v>
      </c>
      <c r="P60" t="str">
        <f t="shared" si="2"/>
        <v>MÉDIO</v>
      </c>
    </row>
    <row r="61" spans="1:16" x14ac:dyDescent="0.25">
      <c r="A61" s="1">
        <v>46092</v>
      </c>
      <c r="B61" s="1" t="s">
        <v>42</v>
      </c>
      <c r="C61" s="2">
        <v>0.3347222222222222</v>
      </c>
      <c r="D61" s="2" t="str">
        <f t="shared" si="0"/>
        <v>08h</v>
      </c>
      <c r="E61" t="s">
        <v>5</v>
      </c>
      <c r="F61" t="str">
        <f>VLOOKUP(E61,dimensao_bairro!A:B,2,FALSE)</f>
        <v>Portão</v>
      </c>
      <c r="G61" t="s">
        <v>5</v>
      </c>
      <c r="H61" s="5">
        <v>7</v>
      </c>
      <c r="I61" s="5">
        <v>0.9</v>
      </c>
      <c r="J61" t="str">
        <f t="shared" si="1"/>
        <v>Curta</v>
      </c>
      <c r="M61" t="str">
        <f>VLOOKUP(E61,dimensao_bairro!A:B,2,FALSE)</f>
        <v>Portão</v>
      </c>
      <c r="O61" t="str">
        <f>INDEX(dimensao_bairro!B:B,MATCH(tabela_origem!E61,dimensao_bairro!A:A,0))</f>
        <v>Portão</v>
      </c>
      <c r="P61" t="str">
        <f t="shared" si="2"/>
        <v>MÉDIO</v>
      </c>
    </row>
    <row r="62" spans="1:16" x14ac:dyDescent="0.25">
      <c r="A62" s="1">
        <v>46092</v>
      </c>
      <c r="B62" s="1" t="s">
        <v>42</v>
      </c>
      <c r="C62" s="2">
        <v>0.31527777777777777</v>
      </c>
      <c r="D62" s="2" t="str">
        <f t="shared" si="0"/>
        <v>07h</v>
      </c>
      <c r="E62" t="s">
        <v>26</v>
      </c>
      <c r="F62" t="str">
        <f>VLOOKUP(E62,dimensao_bairro!A:B,2,FALSE)</f>
        <v>Portão</v>
      </c>
      <c r="G62" t="s">
        <v>51</v>
      </c>
      <c r="H62" s="5">
        <v>6.82</v>
      </c>
      <c r="I62" s="5">
        <v>3.6</v>
      </c>
      <c r="J62" t="str">
        <f t="shared" si="1"/>
        <v>Média</v>
      </c>
      <c r="M62" t="str">
        <f>VLOOKUP(E62,dimensao_bairro!A:B,2,FALSE)</f>
        <v>Portão</v>
      </c>
      <c r="O62" t="str">
        <f>INDEX(dimensao_bairro!B:B,MATCH(tabela_origem!E62,dimensao_bairro!A:A,0))</f>
        <v>Portão</v>
      </c>
      <c r="P62" t="str">
        <f t="shared" si="2"/>
        <v>BAIXO</v>
      </c>
    </row>
    <row r="63" spans="1:16" x14ac:dyDescent="0.25">
      <c r="A63" s="1">
        <v>46092</v>
      </c>
      <c r="B63" s="1" t="s">
        <v>42</v>
      </c>
      <c r="C63" s="2">
        <v>0.4055555555555555</v>
      </c>
      <c r="D63" s="2" t="str">
        <f t="shared" si="0"/>
        <v>09h</v>
      </c>
      <c r="E63" t="s">
        <v>50</v>
      </c>
      <c r="F63" t="str">
        <f>VLOOKUP(E63,dimensao_bairro!A:B,2,FALSE)</f>
        <v>Santa Felicidade</v>
      </c>
      <c r="G63" t="s">
        <v>28</v>
      </c>
      <c r="H63" s="5">
        <v>6.5</v>
      </c>
      <c r="I63" s="5">
        <v>1.9</v>
      </c>
      <c r="J63" t="str">
        <f t="shared" si="1"/>
        <v>Curta</v>
      </c>
      <c r="M63" t="str">
        <f>VLOOKUP(E63,dimensao_bairro!A:B,2,FALSE)</f>
        <v>Santa Felicidade</v>
      </c>
      <c r="O63" t="str">
        <f>INDEX(dimensao_bairro!B:B,MATCH(tabela_origem!E63,dimensao_bairro!A:A,0))</f>
        <v>Santa Felicidade</v>
      </c>
      <c r="P63" t="str">
        <f t="shared" si="2"/>
        <v>BAIXO</v>
      </c>
    </row>
    <row r="64" spans="1:16" x14ac:dyDescent="0.25">
      <c r="A64" s="1">
        <v>46092</v>
      </c>
      <c r="B64" s="1" t="s">
        <v>42</v>
      </c>
      <c r="C64" s="2">
        <v>0.41388888888888892</v>
      </c>
      <c r="D64" s="2" t="str">
        <f t="shared" si="0"/>
        <v>09h</v>
      </c>
      <c r="E64" t="s">
        <v>31</v>
      </c>
      <c r="F64" t="str">
        <f>VLOOKUP(E64,dimensao_bairro!A:B,2,FALSE)</f>
        <v>Portão</v>
      </c>
      <c r="G64" t="s">
        <v>10</v>
      </c>
      <c r="H64" s="5">
        <v>6.5</v>
      </c>
      <c r="I64" s="5">
        <v>1.8</v>
      </c>
      <c r="J64" t="str">
        <f t="shared" si="1"/>
        <v>Curta</v>
      </c>
      <c r="M64" t="str">
        <f>VLOOKUP(E64,dimensao_bairro!A:B,2,FALSE)</f>
        <v>Portão</v>
      </c>
      <c r="O64" t="str">
        <f>INDEX(dimensao_bairro!B:B,MATCH(tabela_origem!E64,dimensao_bairro!A:A,0))</f>
        <v>Portão</v>
      </c>
      <c r="P64" t="str">
        <f t="shared" si="2"/>
        <v>BAIXO</v>
      </c>
    </row>
    <row r="65" spans="1:16" x14ac:dyDescent="0.25">
      <c r="A65" s="1">
        <v>46092</v>
      </c>
      <c r="B65" s="1" t="s">
        <v>42</v>
      </c>
      <c r="C65" s="2">
        <v>0.3430555555555555</v>
      </c>
      <c r="D65" s="2" t="str">
        <f t="shared" si="0"/>
        <v>08h</v>
      </c>
      <c r="E65" t="s">
        <v>5</v>
      </c>
      <c r="F65" t="str">
        <f>VLOOKUP(E65,dimensao_bairro!A:B,2,FALSE)</f>
        <v>Portão</v>
      </c>
      <c r="G65" t="s">
        <v>5</v>
      </c>
      <c r="H65" s="5">
        <v>6.5</v>
      </c>
      <c r="I65" s="5">
        <v>1.3</v>
      </c>
      <c r="J65" t="str">
        <f t="shared" si="1"/>
        <v>Curta</v>
      </c>
      <c r="M65" t="str">
        <f>VLOOKUP(E65,dimensao_bairro!A:B,2,FALSE)</f>
        <v>Portão</v>
      </c>
      <c r="O65" t="str">
        <f>INDEX(dimensao_bairro!B:B,MATCH(tabela_origem!E65,dimensao_bairro!A:A,0))</f>
        <v>Portão</v>
      </c>
      <c r="P65" t="str">
        <f t="shared" si="2"/>
        <v>BAIXO</v>
      </c>
    </row>
    <row r="66" spans="1:16" x14ac:dyDescent="0.25">
      <c r="A66" s="1">
        <v>46092</v>
      </c>
      <c r="B66" s="1" t="s">
        <v>42</v>
      </c>
      <c r="C66" s="2">
        <v>0.34861111111111115</v>
      </c>
      <c r="D66" s="2" t="str">
        <f t="shared" si="0"/>
        <v>08h</v>
      </c>
      <c r="E66" t="s">
        <v>5</v>
      </c>
      <c r="F66" t="str">
        <f>VLOOKUP(E66,dimensao_bairro!A:B,2,FALSE)</f>
        <v>Portão</v>
      </c>
      <c r="G66" t="s">
        <v>11</v>
      </c>
      <c r="H66" s="5">
        <v>6.5</v>
      </c>
      <c r="I66" s="5">
        <v>0.9</v>
      </c>
      <c r="J66" t="str">
        <f t="shared" si="1"/>
        <v>Curta</v>
      </c>
      <c r="M66" t="str">
        <f>VLOOKUP(E66,dimensao_bairro!A:B,2,FALSE)</f>
        <v>Portão</v>
      </c>
      <c r="O66" t="str">
        <f>INDEX(dimensao_bairro!B:B,MATCH(tabela_origem!E66,dimensao_bairro!A:A,0))</f>
        <v>Portão</v>
      </c>
      <c r="P66" t="str">
        <f t="shared" si="2"/>
        <v>BAIXO</v>
      </c>
    </row>
    <row r="67" spans="1:16" x14ac:dyDescent="0.25">
      <c r="A67" s="1">
        <v>46092</v>
      </c>
      <c r="B67" s="1" t="s">
        <v>42</v>
      </c>
      <c r="C67" s="2">
        <v>0.36180555555555555</v>
      </c>
      <c r="D67" s="2" t="str">
        <f t="shared" ref="D67:D130" si="3">TEXT(C67,"hh")&amp;"h"</f>
        <v>08h</v>
      </c>
      <c r="E67" t="s">
        <v>11</v>
      </c>
      <c r="F67" t="str">
        <f>VLOOKUP(E67,dimensao_bairro!A:B,2,FALSE)</f>
        <v>Boqueirão</v>
      </c>
      <c r="G67" t="s">
        <v>11</v>
      </c>
      <c r="H67" s="5">
        <v>6.5</v>
      </c>
      <c r="I67" s="5">
        <v>1.9</v>
      </c>
      <c r="J67" t="str">
        <f t="shared" ref="J67:J130" si="4">IF(I67&lt;=2,"Curta",IF(I67&lt;=4,"Média","Longa"))</f>
        <v>Curta</v>
      </c>
      <c r="M67" t="str">
        <f>VLOOKUP(E67,dimensao_bairro!A:B,2,FALSE)</f>
        <v>Boqueirão</v>
      </c>
      <c r="O67" t="str">
        <f>INDEX(dimensao_bairro!B:B,MATCH(tabela_origem!E67,dimensao_bairro!A:A,0))</f>
        <v>Boqueirão</v>
      </c>
      <c r="P67" t="str">
        <f t="shared" ref="P67:P130" si="5">IF(H67&lt;7,"BAIXO",IF(H67&lt;=10,"MÉDIO","ALTO"))</f>
        <v>BAIXO</v>
      </c>
    </row>
    <row r="68" spans="1:16" x14ac:dyDescent="0.25">
      <c r="A68" s="1">
        <v>46092</v>
      </c>
      <c r="B68" s="1" t="s">
        <v>42</v>
      </c>
      <c r="C68" s="2">
        <v>0.36874999999999997</v>
      </c>
      <c r="D68" s="2" t="str">
        <f t="shared" si="3"/>
        <v>08h</v>
      </c>
      <c r="E68" t="s">
        <v>11</v>
      </c>
      <c r="F68" t="str">
        <f>VLOOKUP(E68,dimensao_bairro!A:B,2,FALSE)</f>
        <v>Boqueirão</v>
      </c>
      <c r="G68" t="s">
        <v>9</v>
      </c>
      <c r="H68" s="5">
        <v>6.5</v>
      </c>
      <c r="I68" s="5">
        <v>1.9</v>
      </c>
      <c r="J68" t="str">
        <f t="shared" si="4"/>
        <v>Curta</v>
      </c>
      <c r="M68" t="str">
        <f>VLOOKUP(E68,dimensao_bairro!A:B,2,FALSE)</f>
        <v>Boqueirão</v>
      </c>
      <c r="O68" t="str">
        <f>INDEX(dimensao_bairro!B:B,MATCH(tabela_origem!E68,dimensao_bairro!A:A,0))</f>
        <v>Boqueirão</v>
      </c>
      <c r="P68" t="str">
        <f t="shared" si="5"/>
        <v>BAIXO</v>
      </c>
    </row>
    <row r="69" spans="1:16" x14ac:dyDescent="0.25">
      <c r="A69" s="1">
        <v>46093</v>
      </c>
      <c r="B69" s="1" t="s">
        <v>42</v>
      </c>
      <c r="C69" s="2">
        <v>0.32500000000000001</v>
      </c>
      <c r="D69" s="2" t="str">
        <f t="shared" si="3"/>
        <v>07h</v>
      </c>
      <c r="E69" t="s">
        <v>26</v>
      </c>
      <c r="F69" t="str">
        <f>VLOOKUP(E69,dimensao_bairro!A:B,2,FALSE)</f>
        <v>Portão</v>
      </c>
      <c r="G69" t="s">
        <v>26</v>
      </c>
      <c r="H69" s="5">
        <v>18.3</v>
      </c>
      <c r="I69" s="5">
        <v>3.1</v>
      </c>
      <c r="J69" t="str">
        <f t="shared" si="4"/>
        <v>Média</v>
      </c>
      <c r="M69" t="str">
        <f>VLOOKUP(E69,dimensao_bairro!A:B,2,FALSE)</f>
        <v>Portão</v>
      </c>
      <c r="O69" t="str">
        <f>INDEX(dimensao_bairro!B:B,MATCH(tabela_origem!E69,dimensao_bairro!A:A,0))</f>
        <v>Portão</v>
      </c>
      <c r="P69" t="str">
        <f t="shared" si="5"/>
        <v>ALTO</v>
      </c>
    </row>
    <row r="70" spans="1:16" x14ac:dyDescent="0.25">
      <c r="A70" s="1">
        <v>46093</v>
      </c>
      <c r="B70" s="1" t="s">
        <v>42</v>
      </c>
      <c r="C70" s="2">
        <v>0.31805555555555554</v>
      </c>
      <c r="D70" s="2" t="str">
        <f t="shared" si="3"/>
        <v>07h</v>
      </c>
      <c r="E70" t="s">
        <v>27</v>
      </c>
      <c r="F70" t="str">
        <f>VLOOKUP(E70,dimensao_bairro!A:B,2,FALSE)</f>
        <v>Pinheirinho</v>
      </c>
      <c r="G70" t="s">
        <v>36</v>
      </c>
      <c r="H70" s="5">
        <v>10.1</v>
      </c>
      <c r="I70" s="5">
        <v>2.1</v>
      </c>
      <c r="J70" t="str">
        <f t="shared" si="4"/>
        <v>Média</v>
      </c>
      <c r="M70" t="str">
        <f>VLOOKUP(E70,dimensao_bairro!A:B,2,FALSE)</f>
        <v>Pinheirinho</v>
      </c>
      <c r="O70" t="str">
        <f>INDEX(dimensao_bairro!B:B,MATCH(tabela_origem!E70,dimensao_bairro!A:A,0))</f>
        <v>Pinheirinho</v>
      </c>
      <c r="P70" t="str">
        <f t="shared" si="5"/>
        <v>ALTO</v>
      </c>
    </row>
    <row r="71" spans="1:16" x14ac:dyDescent="0.25">
      <c r="A71" s="1">
        <v>46093</v>
      </c>
      <c r="B71" s="1" t="s">
        <v>42</v>
      </c>
      <c r="C71" s="2">
        <v>0.33124999999999999</v>
      </c>
      <c r="D71" s="2" t="str">
        <f t="shared" si="3"/>
        <v>07h</v>
      </c>
      <c r="E71" t="s">
        <v>5</v>
      </c>
      <c r="F71" t="str">
        <f>VLOOKUP(E71,dimensao_bairro!A:B,2,FALSE)</f>
        <v>Portão</v>
      </c>
      <c r="G71" t="s">
        <v>9</v>
      </c>
      <c r="H71" s="5">
        <v>10</v>
      </c>
      <c r="I71" s="5">
        <v>2.4</v>
      </c>
      <c r="J71" t="str">
        <f t="shared" si="4"/>
        <v>Média</v>
      </c>
      <c r="M71" t="str">
        <f>VLOOKUP(E71,dimensao_bairro!A:B,2,FALSE)</f>
        <v>Portão</v>
      </c>
      <c r="O71" t="str">
        <f>INDEX(dimensao_bairro!B:B,MATCH(tabela_origem!E71,dimensao_bairro!A:A,0))</f>
        <v>Portão</v>
      </c>
      <c r="P71" t="str">
        <f t="shared" si="5"/>
        <v>MÉDIO</v>
      </c>
    </row>
    <row r="72" spans="1:16" x14ac:dyDescent="0.25">
      <c r="A72" s="1">
        <v>46093</v>
      </c>
      <c r="B72" s="1" t="s">
        <v>42</v>
      </c>
      <c r="C72" s="2">
        <v>0.35694444444444445</v>
      </c>
      <c r="D72" s="2" t="str">
        <f t="shared" si="3"/>
        <v>08h</v>
      </c>
      <c r="E72" t="s">
        <v>9</v>
      </c>
      <c r="F72" t="str">
        <f>VLOOKUP(E72,dimensao_bairro!A:B,2,FALSE)</f>
        <v>Portão</v>
      </c>
      <c r="G72" t="s">
        <v>9</v>
      </c>
      <c r="H72" s="5">
        <v>6.9</v>
      </c>
      <c r="I72" s="5">
        <v>1.9</v>
      </c>
      <c r="J72" t="str">
        <f t="shared" si="4"/>
        <v>Curta</v>
      </c>
      <c r="M72" t="str">
        <f>VLOOKUP(E72,dimensao_bairro!A:B,2,FALSE)</f>
        <v>Portão</v>
      </c>
      <c r="O72" t="str">
        <f>INDEX(dimensao_bairro!B:B,MATCH(tabela_origem!E72,dimensao_bairro!A:A,0))</f>
        <v>Portão</v>
      </c>
      <c r="P72" t="str">
        <f t="shared" si="5"/>
        <v>BAIXO</v>
      </c>
    </row>
    <row r="73" spans="1:16" x14ac:dyDescent="0.25">
      <c r="A73" s="1">
        <v>46093</v>
      </c>
      <c r="B73" s="1" t="s">
        <v>42</v>
      </c>
      <c r="C73" s="2">
        <v>0.41666666666666669</v>
      </c>
      <c r="D73" s="2" t="str">
        <f t="shared" si="3"/>
        <v>10h</v>
      </c>
      <c r="E73" t="s">
        <v>9</v>
      </c>
      <c r="F73" t="str">
        <f>VLOOKUP(E73,dimensao_bairro!A:B,2,FALSE)</f>
        <v>Portão</v>
      </c>
      <c r="G73" t="s">
        <v>26</v>
      </c>
      <c r="H73" s="5">
        <v>6.9</v>
      </c>
      <c r="I73" s="5">
        <v>2.2999999999999998</v>
      </c>
      <c r="J73" t="str">
        <f t="shared" si="4"/>
        <v>Média</v>
      </c>
      <c r="M73" t="str">
        <f>VLOOKUP(E73,dimensao_bairro!A:B,2,FALSE)</f>
        <v>Portão</v>
      </c>
      <c r="O73" t="str">
        <f>INDEX(dimensao_bairro!B:B,MATCH(tabela_origem!E73,dimensao_bairro!A:A,0))</f>
        <v>Portão</v>
      </c>
      <c r="P73" t="str">
        <f t="shared" si="5"/>
        <v>BAIXO</v>
      </c>
    </row>
    <row r="74" spans="1:16" x14ac:dyDescent="0.25">
      <c r="A74" s="1">
        <v>46093</v>
      </c>
      <c r="B74" s="1" t="s">
        <v>42</v>
      </c>
      <c r="C74" s="2">
        <v>0.39166666666666666</v>
      </c>
      <c r="D74" s="2" t="str">
        <f t="shared" si="3"/>
        <v>09h</v>
      </c>
      <c r="E74" t="s">
        <v>5</v>
      </c>
      <c r="F74" t="str">
        <f>VLOOKUP(E74,dimensao_bairro!A:B,2,FALSE)</f>
        <v>Portão</v>
      </c>
      <c r="G74" t="s">
        <v>9</v>
      </c>
      <c r="H74" s="5">
        <v>6.9</v>
      </c>
      <c r="I74" s="5">
        <v>1.6</v>
      </c>
      <c r="J74" t="str">
        <f t="shared" si="4"/>
        <v>Curta</v>
      </c>
      <c r="M74" t="str">
        <f>VLOOKUP(E74,dimensao_bairro!A:B,2,FALSE)</f>
        <v>Portão</v>
      </c>
      <c r="O74" t="str">
        <f>INDEX(dimensao_bairro!B:B,MATCH(tabela_origem!E74,dimensao_bairro!A:A,0))</f>
        <v>Portão</v>
      </c>
      <c r="P74" t="str">
        <f t="shared" si="5"/>
        <v>BAIXO</v>
      </c>
    </row>
    <row r="75" spans="1:16" x14ac:dyDescent="0.25">
      <c r="A75" s="1">
        <v>46093</v>
      </c>
      <c r="B75" s="1" t="s">
        <v>42</v>
      </c>
      <c r="C75" s="2">
        <v>0.33958333333333335</v>
      </c>
      <c r="D75" s="2" t="str">
        <f t="shared" si="3"/>
        <v>08h</v>
      </c>
      <c r="E75" t="s">
        <v>9</v>
      </c>
      <c r="F75" t="str">
        <f>VLOOKUP(E75,dimensao_bairro!A:B,2,FALSE)</f>
        <v>Portão</v>
      </c>
      <c r="G75" t="s">
        <v>8</v>
      </c>
      <c r="H75" s="5">
        <v>6.6</v>
      </c>
      <c r="I75" s="5">
        <v>1.8</v>
      </c>
      <c r="J75" t="str">
        <f t="shared" si="4"/>
        <v>Curta</v>
      </c>
      <c r="M75" t="str">
        <f>VLOOKUP(E75,dimensao_bairro!A:B,2,FALSE)</f>
        <v>Portão</v>
      </c>
      <c r="O75" t="str">
        <f>INDEX(dimensao_bairro!B:B,MATCH(tabela_origem!E75,dimensao_bairro!A:A,0))</f>
        <v>Portão</v>
      </c>
      <c r="P75" t="str">
        <f t="shared" si="5"/>
        <v>BAIXO</v>
      </c>
    </row>
    <row r="76" spans="1:16" x14ac:dyDescent="0.25">
      <c r="A76" s="1">
        <v>46093</v>
      </c>
      <c r="B76" s="1" t="s">
        <v>42</v>
      </c>
      <c r="C76" s="2">
        <v>0.36388888888888887</v>
      </c>
      <c r="D76" s="2" t="str">
        <f t="shared" si="3"/>
        <v>08h</v>
      </c>
      <c r="E76" t="s">
        <v>9</v>
      </c>
      <c r="F76" t="str">
        <f>VLOOKUP(E76,dimensao_bairro!A:B,2,FALSE)</f>
        <v>Portão</v>
      </c>
      <c r="G76" t="s">
        <v>9</v>
      </c>
      <c r="H76" s="5">
        <v>6.6</v>
      </c>
      <c r="I76" s="5">
        <v>2.5</v>
      </c>
      <c r="J76" t="str">
        <f t="shared" si="4"/>
        <v>Média</v>
      </c>
      <c r="M76" t="str">
        <f>VLOOKUP(E76,dimensao_bairro!A:B,2,FALSE)</f>
        <v>Portão</v>
      </c>
      <c r="O76" t="str">
        <f>INDEX(dimensao_bairro!B:B,MATCH(tabela_origem!E76,dimensao_bairro!A:A,0))</f>
        <v>Portão</v>
      </c>
      <c r="P76" t="str">
        <f t="shared" si="5"/>
        <v>BAIXO</v>
      </c>
    </row>
    <row r="77" spans="1:16" x14ac:dyDescent="0.25">
      <c r="A77" s="1">
        <v>46093</v>
      </c>
      <c r="B77" s="1" t="s">
        <v>42</v>
      </c>
      <c r="C77" s="2">
        <v>0.4069444444444445</v>
      </c>
      <c r="D77" s="2" t="str">
        <f t="shared" si="3"/>
        <v>09h</v>
      </c>
      <c r="E77" t="s">
        <v>5</v>
      </c>
      <c r="F77" t="str">
        <f>VLOOKUP(E77,dimensao_bairro!A:B,2,FALSE)</f>
        <v>Portão</v>
      </c>
      <c r="G77" t="s">
        <v>36</v>
      </c>
      <c r="H77" s="5">
        <v>6.6</v>
      </c>
      <c r="I77" s="5">
        <v>2.1</v>
      </c>
      <c r="J77" t="str">
        <f t="shared" si="4"/>
        <v>Média</v>
      </c>
      <c r="M77" t="str">
        <f>VLOOKUP(E77,dimensao_bairro!A:B,2,FALSE)</f>
        <v>Portão</v>
      </c>
      <c r="O77" t="str">
        <f>INDEX(dimensao_bairro!B:B,MATCH(tabela_origem!E77,dimensao_bairro!A:A,0))</f>
        <v>Portão</v>
      </c>
      <c r="P77" t="str">
        <f t="shared" si="5"/>
        <v>BAIXO</v>
      </c>
    </row>
    <row r="78" spans="1:16" x14ac:dyDescent="0.25">
      <c r="A78" s="1">
        <v>46093</v>
      </c>
      <c r="B78" s="1" t="s">
        <v>42</v>
      </c>
      <c r="C78" s="2">
        <v>0.35069444444444442</v>
      </c>
      <c r="D78" s="2" t="str">
        <f t="shared" si="3"/>
        <v>08h</v>
      </c>
      <c r="E78" t="s">
        <v>9</v>
      </c>
      <c r="F78" t="str">
        <f>VLOOKUP(E78,dimensao_bairro!A:B,2,FALSE)</f>
        <v>Portão</v>
      </c>
      <c r="G78" t="s">
        <v>9</v>
      </c>
      <c r="H78" s="5">
        <v>6.5</v>
      </c>
      <c r="I78" s="5">
        <v>1.8</v>
      </c>
      <c r="J78" t="str">
        <f t="shared" si="4"/>
        <v>Curta</v>
      </c>
      <c r="M78" t="str">
        <f>VLOOKUP(E78,dimensao_bairro!A:B,2,FALSE)</f>
        <v>Portão</v>
      </c>
      <c r="O78" t="str">
        <f>INDEX(dimensao_bairro!B:B,MATCH(tabela_origem!E78,dimensao_bairro!A:A,0))</f>
        <v>Portão</v>
      </c>
      <c r="P78" t="str">
        <f t="shared" si="5"/>
        <v>BAIXO</v>
      </c>
    </row>
    <row r="79" spans="1:16" x14ac:dyDescent="0.25">
      <c r="A79" s="1">
        <v>46093</v>
      </c>
      <c r="B79" s="1" t="s">
        <v>42</v>
      </c>
      <c r="C79" s="2">
        <v>0.38055555555555554</v>
      </c>
      <c r="D79" s="2" t="str">
        <f t="shared" si="3"/>
        <v>09h</v>
      </c>
      <c r="E79" t="s">
        <v>9</v>
      </c>
      <c r="F79" t="str">
        <f>VLOOKUP(E79,dimensao_bairro!A:B,2,FALSE)</f>
        <v>Portão</v>
      </c>
      <c r="G79" t="s">
        <v>5</v>
      </c>
      <c r="H79" s="5">
        <v>6.5</v>
      </c>
      <c r="I79" s="5">
        <v>1.4</v>
      </c>
      <c r="J79" t="str">
        <f t="shared" si="4"/>
        <v>Curta</v>
      </c>
      <c r="M79" t="str">
        <f>VLOOKUP(E79,dimensao_bairro!A:B,2,FALSE)</f>
        <v>Portão</v>
      </c>
      <c r="O79" t="str">
        <f>INDEX(dimensao_bairro!B:B,MATCH(tabela_origem!E79,dimensao_bairro!A:A,0))</f>
        <v>Portão</v>
      </c>
      <c r="P79" t="str">
        <f t="shared" si="5"/>
        <v>BAIXO</v>
      </c>
    </row>
    <row r="80" spans="1:16" x14ac:dyDescent="0.25">
      <c r="A80" s="1">
        <v>46093</v>
      </c>
      <c r="B80" s="1" t="s">
        <v>42</v>
      </c>
      <c r="C80" s="2">
        <v>0.38680555555555557</v>
      </c>
      <c r="D80" s="2" t="str">
        <f t="shared" si="3"/>
        <v>09h</v>
      </c>
      <c r="E80" t="s">
        <v>9</v>
      </c>
      <c r="F80" t="str">
        <f>VLOOKUP(E80,dimensao_bairro!A:B,2,FALSE)</f>
        <v>Portão</v>
      </c>
      <c r="G80" t="s">
        <v>6</v>
      </c>
      <c r="H80" s="5">
        <v>6.5</v>
      </c>
      <c r="I80" s="5">
        <v>2.1</v>
      </c>
      <c r="J80" t="str">
        <f t="shared" si="4"/>
        <v>Média</v>
      </c>
      <c r="M80" t="str">
        <f>VLOOKUP(E80,dimensao_bairro!A:B,2,FALSE)</f>
        <v>Portão</v>
      </c>
      <c r="O80" t="str">
        <f>INDEX(dimensao_bairro!B:B,MATCH(tabela_origem!E80,dimensao_bairro!A:A,0))</f>
        <v>Portão</v>
      </c>
      <c r="P80" t="str">
        <f t="shared" si="5"/>
        <v>BAIXO</v>
      </c>
    </row>
    <row r="81" spans="1:16" x14ac:dyDescent="0.25">
      <c r="A81" s="1">
        <v>46093</v>
      </c>
      <c r="B81" s="1" t="s">
        <v>42</v>
      </c>
      <c r="C81" s="2">
        <v>0.3743055555555555</v>
      </c>
      <c r="D81" s="2" t="str">
        <f t="shared" si="3"/>
        <v>08h</v>
      </c>
      <c r="E81" t="s">
        <v>12</v>
      </c>
      <c r="F81" t="str">
        <f>VLOOKUP(E81,dimensao_bairro!A:B,2,FALSE)</f>
        <v>Portão</v>
      </c>
      <c r="G81" t="s">
        <v>5</v>
      </c>
      <c r="H81" s="5">
        <v>6.5</v>
      </c>
      <c r="I81" s="5">
        <v>2.4</v>
      </c>
      <c r="J81" t="str">
        <f t="shared" si="4"/>
        <v>Média</v>
      </c>
      <c r="M81" t="str">
        <f>VLOOKUP(E81,dimensao_bairro!A:B,2,FALSE)</f>
        <v>Portão</v>
      </c>
      <c r="O81" t="str">
        <f>INDEX(dimensao_bairro!B:B,MATCH(tabela_origem!E81,dimensao_bairro!A:A,0))</f>
        <v>Portão</v>
      </c>
      <c r="P81" t="str">
        <f t="shared" si="5"/>
        <v>BAIXO</v>
      </c>
    </row>
    <row r="82" spans="1:16" x14ac:dyDescent="0.25">
      <c r="A82" s="1">
        <v>46093</v>
      </c>
      <c r="B82" s="1" t="s">
        <v>42</v>
      </c>
      <c r="C82" s="2">
        <v>0.40277777777777773</v>
      </c>
      <c r="D82" s="2" t="str">
        <f t="shared" si="3"/>
        <v>09h</v>
      </c>
      <c r="E82" t="s">
        <v>6</v>
      </c>
      <c r="F82" t="str">
        <f>VLOOKUP(E82,dimensao_bairro!A:B,2,FALSE)</f>
        <v>Portão</v>
      </c>
      <c r="G82" t="s">
        <v>9</v>
      </c>
      <c r="H82" s="5">
        <v>6.5</v>
      </c>
      <c r="I82" s="5">
        <v>2</v>
      </c>
      <c r="J82" t="str">
        <f t="shared" si="4"/>
        <v>Curta</v>
      </c>
      <c r="M82" t="str">
        <f>VLOOKUP(E82,dimensao_bairro!A:B,2,FALSE)</f>
        <v>Portão</v>
      </c>
      <c r="O82" t="str">
        <f>INDEX(dimensao_bairro!B:B,MATCH(tabela_origem!E82,dimensao_bairro!A:A,0))</f>
        <v>Portão</v>
      </c>
      <c r="P82" t="str">
        <f t="shared" si="5"/>
        <v>BAIXO</v>
      </c>
    </row>
    <row r="83" spans="1:16" x14ac:dyDescent="0.25">
      <c r="A83" s="1">
        <v>46094</v>
      </c>
      <c r="B83" s="1" t="s">
        <v>42</v>
      </c>
      <c r="C83" s="2">
        <v>0.31041666666666667</v>
      </c>
      <c r="D83" s="2" t="str">
        <f t="shared" si="3"/>
        <v>07h</v>
      </c>
      <c r="E83" t="s">
        <v>26</v>
      </c>
      <c r="F83" t="str">
        <f>VLOOKUP(E83,dimensao_bairro!A:B,2,FALSE)</f>
        <v>Portão</v>
      </c>
      <c r="G83" t="s">
        <v>11</v>
      </c>
      <c r="H83" s="5">
        <v>15.35</v>
      </c>
      <c r="I83" s="5">
        <v>4.2</v>
      </c>
      <c r="J83" t="str">
        <f t="shared" si="4"/>
        <v>Longa</v>
      </c>
      <c r="M83" t="str">
        <f>VLOOKUP(E83,dimensao_bairro!A:B,2,FALSE)</f>
        <v>Portão</v>
      </c>
      <c r="O83" t="str">
        <f>INDEX(dimensao_bairro!B:B,MATCH(tabela_origem!E83,dimensao_bairro!A:A,0))</f>
        <v>Portão</v>
      </c>
      <c r="P83" t="str">
        <f t="shared" si="5"/>
        <v>ALTO</v>
      </c>
    </row>
    <row r="84" spans="1:16" x14ac:dyDescent="0.25">
      <c r="A84" s="1">
        <v>46094</v>
      </c>
      <c r="B84" s="1" t="s">
        <v>42</v>
      </c>
      <c r="C84" s="2">
        <v>0.3263888888888889</v>
      </c>
      <c r="D84" s="2" t="str">
        <f t="shared" si="3"/>
        <v>07h</v>
      </c>
      <c r="E84" t="s">
        <v>5</v>
      </c>
      <c r="F84" t="str">
        <f>VLOOKUP(E84,dimensao_bairro!A:B,2,FALSE)</f>
        <v>Portão</v>
      </c>
      <c r="G84" t="s">
        <v>52</v>
      </c>
      <c r="H84" s="5">
        <v>12.1</v>
      </c>
      <c r="I84" s="5">
        <v>3.1</v>
      </c>
      <c r="J84" t="str">
        <f t="shared" si="4"/>
        <v>Média</v>
      </c>
      <c r="M84" t="str">
        <f>VLOOKUP(E84,dimensao_bairro!A:B,2,FALSE)</f>
        <v>Portão</v>
      </c>
      <c r="O84" t="str">
        <f>INDEX(dimensao_bairro!B:B,MATCH(tabela_origem!E84,dimensao_bairro!A:A,0))</f>
        <v>Portão</v>
      </c>
      <c r="P84" t="str">
        <f t="shared" si="5"/>
        <v>ALTO</v>
      </c>
    </row>
    <row r="85" spans="1:16" x14ac:dyDescent="0.25">
      <c r="A85" s="1">
        <v>46094</v>
      </c>
      <c r="B85" s="1" t="s">
        <v>42</v>
      </c>
      <c r="C85" s="2">
        <v>0.37916666666666665</v>
      </c>
      <c r="D85" s="2" t="str">
        <f t="shared" si="3"/>
        <v>09h</v>
      </c>
      <c r="E85" t="s">
        <v>18</v>
      </c>
      <c r="F85" t="str">
        <f>VLOOKUP(E85,dimensao_bairro!A:B,2,FALSE)</f>
        <v>Matriz</v>
      </c>
      <c r="G85" t="s">
        <v>19</v>
      </c>
      <c r="H85" s="5">
        <v>9.1</v>
      </c>
      <c r="I85" s="5">
        <v>2.8</v>
      </c>
      <c r="J85" t="str">
        <f t="shared" si="4"/>
        <v>Média</v>
      </c>
      <c r="M85" t="str">
        <f>VLOOKUP(E85,dimensao_bairro!A:B,2,FALSE)</f>
        <v>Matriz</v>
      </c>
      <c r="O85" t="str">
        <f>INDEX(dimensao_bairro!B:B,MATCH(tabela_origem!E85,dimensao_bairro!A:A,0))</f>
        <v>Matriz</v>
      </c>
      <c r="P85" t="str">
        <f t="shared" si="5"/>
        <v>MÉDIO</v>
      </c>
    </row>
    <row r="86" spans="1:16" x14ac:dyDescent="0.25">
      <c r="A86" s="1">
        <v>46094</v>
      </c>
      <c r="B86" s="1" t="s">
        <v>42</v>
      </c>
      <c r="C86" s="2">
        <v>0.36249999999999999</v>
      </c>
      <c r="D86" s="2" t="str">
        <f t="shared" si="3"/>
        <v>08h</v>
      </c>
      <c r="E86" t="s">
        <v>13</v>
      </c>
      <c r="F86" t="str">
        <f>VLOOKUP(E86,dimensao_bairro!A:B,2,FALSE)</f>
        <v>Matriz</v>
      </c>
      <c r="G86" t="s">
        <v>53</v>
      </c>
      <c r="H86" s="5">
        <v>7.9</v>
      </c>
      <c r="I86" s="5">
        <v>3.1</v>
      </c>
      <c r="J86" t="str">
        <f t="shared" si="4"/>
        <v>Média</v>
      </c>
      <c r="M86" t="str">
        <f>VLOOKUP(E86,dimensao_bairro!A:B,2,FALSE)</f>
        <v>Matriz</v>
      </c>
      <c r="O86" t="str">
        <f>INDEX(dimensao_bairro!B:B,MATCH(tabela_origem!E86,dimensao_bairro!A:A,0))</f>
        <v>Matriz</v>
      </c>
      <c r="P86" t="str">
        <f t="shared" si="5"/>
        <v>MÉDIO</v>
      </c>
    </row>
    <row r="87" spans="1:16" x14ac:dyDescent="0.25">
      <c r="A87" s="1">
        <v>46094</v>
      </c>
      <c r="B87" s="1" t="s">
        <v>42</v>
      </c>
      <c r="C87" s="2">
        <v>0.38611111111111113</v>
      </c>
      <c r="D87" s="2" t="str">
        <f t="shared" si="3"/>
        <v>09h</v>
      </c>
      <c r="E87" t="s">
        <v>53</v>
      </c>
      <c r="F87" t="str">
        <f>VLOOKUP(E87,dimensao_bairro!A:B,2,FALSE)</f>
        <v>Matriz</v>
      </c>
      <c r="G87" t="s">
        <v>20</v>
      </c>
      <c r="H87" s="5">
        <v>6.8</v>
      </c>
      <c r="I87" s="5">
        <v>1.4</v>
      </c>
      <c r="J87" t="str">
        <f t="shared" si="4"/>
        <v>Curta</v>
      </c>
      <c r="M87" t="str">
        <f>VLOOKUP(E87,dimensao_bairro!A:B,2,FALSE)</f>
        <v>Matriz</v>
      </c>
      <c r="O87" t="str">
        <f>INDEX(dimensao_bairro!B:B,MATCH(tabela_origem!E87,dimensao_bairro!A:A,0))</f>
        <v>Matriz</v>
      </c>
      <c r="P87" t="str">
        <f t="shared" si="5"/>
        <v>BAIXO</v>
      </c>
    </row>
    <row r="88" spans="1:16" x14ac:dyDescent="0.25">
      <c r="A88" s="1">
        <v>46094</v>
      </c>
      <c r="B88" s="1" t="s">
        <v>42</v>
      </c>
      <c r="C88" s="2">
        <v>0.3444444444444445</v>
      </c>
      <c r="D88" s="2" t="str">
        <f t="shared" si="3"/>
        <v>08h</v>
      </c>
      <c r="E88" t="s">
        <v>9</v>
      </c>
      <c r="F88" t="str">
        <f>VLOOKUP(E88,dimensao_bairro!A:B,2,FALSE)</f>
        <v>Portão</v>
      </c>
      <c r="G88" t="s">
        <v>18</v>
      </c>
      <c r="H88" s="5">
        <v>6.6</v>
      </c>
      <c r="I88" s="5">
        <v>2.8</v>
      </c>
      <c r="J88" t="str">
        <f t="shared" si="4"/>
        <v>Média</v>
      </c>
      <c r="M88" t="str">
        <f>VLOOKUP(E88,dimensao_bairro!A:B,2,FALSE)</f>
        <v>Portão</v>
      </c>
      <c r="O88" t="str">
        <f>INDEX(dimensao_bairro!B:B,MATCH(tabela_origem!E88,dimensao_bairro!A:A,0))</f>
        <v>Portão</v>
      </c>
      <c r="P88" t="str">
        <f t="shared" si="5"/>
        <v>BAIXO</v>
      </c>
    </row>
    <row r="89" spans="1:16" x14ac:dyDescent="0.25">
      <c r="A89" s="1">
        <v>46094</v>
      </c>
      <c r="B89" s="1" t="s">
        <v>42</v>
      </c>
      <c r="C89" s="2">
        <v>0.3979166666666667</v>
      </c>
      <c r="D89" s="2" t="str">
        <f t="shared" si="3"/>
        <v>09h</v>
      </c>
      <c r="E89" t="s">
        <v>13</v>
      </c>
      <c r="F89" t="str">
        <f>VLOOKUP(E89,dimensao_bairro!A:B,2,FALSE)</f>
        <v>Matriz</v>
      </c>
      <c r="G89" t="s">
        <v>52</v>
      </c>
      <c r="H89" s="5">
        <v>6.6</v>
      </c>
      <c r="I89" s="5">
        <v>1.8</v>
      </c>
      <c r="J89" t="str">
        <f t="shared" si="4"/>
        <v>Curta</v>
      </c>
      <c r="M89" t="str">
        <f>VLOOKUP(E89,dimensao_bairro!A:B,2,FALSE)</f>
        <v>Matriz</v>
      </c>
      <c r="O89" t="str">
        <f>INDEX(dimensao_bairro!B:B,MATCH(tabela_origem!E89,dimensao_bairro!A:A,0))</f>
        <v>Matriz</v>
      </c>
      <c r="P89" t="str">
        <f t="shared" si="5"/>
        <v>BAIXO</v>
      </c>
    </row>
    <row r="90" spans="1:16" x14ac:dyDescent="0.25">
      <c r="A90" s="1">
        <v>46094</v>
      </c>
      <c r="B90" s="1" t="s">
        <v>42</v>
      </c>
      <c r="C90" s="2">
        <v>0.4055555555555555</v>
      </c>
      <c r="D90" s="2" t="str">
        <f t="shared" si="3"/>
        <v>09h</v>
      </c>
      <c r="E90" t="s">
        <v>13</v>
      </c>
      <c r="F90" t="str">
        <f>VLOOKUP(E90,dimensao_bairro!A:B,2,FALSE)</f>
        <v>Matriz</v>
      </c>
      <c r="G90" t="s">
        <v>9</v>
      </c>
      <c r="H90" s="5">
        <v>6.5</v>
      </c>
      <c r="I90" s="5">
        <v>2.2000000000000002</v>
      </c>
      <c r="J90" t="str">
        <f t="shared" si="4"/>
        <v>Média</v>
      </c>
      <c r="M90" t="str">
        <f>VLOOKUP(E90,dimensao_bairro!A:B,2,FALSE)</f>
        <v>Matriz</v>
      </c>
      <c r="O90" t="str">
        <f>INDEX(dimensao_bairro!B:B,MATCH(tabela_origem!E90,dimensao_bairro!A:A,0))</f>
        <v>Matriz</v>
      </c>
      <c r="P90" t="str">
        <f t="shared" si="5"/>
        <v>BAIXO</v>
      </c>
    </row>
    <row r="91" spans="1:16" x14ac:dyDescent="0.25">
      <c r="A91" s="1">
        <v>46094</v>
      </c>
      <c r="B91" s="1" t="s">
        <v>42</v>
      </c>
      <c r="C91" s="2">
        <v>0.33402777777777781</v>
      </c>
      <c r="D91" s="2" t="str">
        <f t="shared" si="3"/>
        <v>08h</v>
      </c>
      <c r="E91" t="s">
        <v>5</v>
      </c>
      <c r="F91" t="str">
        <f>VLOOKUP(E91,dimensao_bairro!A:B,2,FALSE)</f>
        <v>Portão</v>
      </c>
      <c r="G91" t="s">
        <v>13</v>
      </c>
      <c r="H91" s="5">
        <v>6.5</v>
      </c>
      <c r="I91" s="5">
        <v>2.8</v>
      </c>
      <c r="J91" t="str">
        <f t="shared" si="4"/>
        <v>Média</v>
      </c>
      <c r="M91" t="str">
        <f>VLOOKUP(E91,dimensao_bairro!A:B,2,FALSE)</f>
        <v>Portão</v>
      </c>
      <c r="O91" t="str">
        <f>INDEX(dimensao_bairro!B:B,MATCH(tabela_origem!E91,dimensao_bairro!A:A,0))</f>
        <v>Portão</v>
      </c>
      <c r="P91" t="str">
        <f t="shared" si="5"/>
        <v>BAIXO</v>
      </c>
    </row>
    <row r="92" spans="1:16" x14ac:dyDescent="0.25">
      <c r="A92" s="1">
        <v>46094</v>
      </c>
      <c r="B92" s="1" t="s">
        <v>42</v>
      </c>
      <c r="C92" s="2">
        <v>0.39166666666666666</v>
      </c>
      <c r="D92" s="2" t="str">
        <f t="shared" si="3"/>
        <v>09h</v>
      </c>
      <c r="E92" t="s">
        <v>45</v>
      </c>
      <c r="F92" t="str">
        <f>VLOOKUP(E92,dimensao_bairro!A:B,2,FALSE)</f>
        <v>Matriz</v>
      </c>
      <c r="G92" t="s">
        <v>13</v>
      </c>
      <c r="H92" s="5">
        <v>6.5</v>
      </c>
      <c r="I92" s="5">
        <v>2.1</v>
      </c>
      <c r="J92" t="str">
        <f t="shared" si="4"/>
        <v>Média</v>
      </c>
      <c r="M92" t="str">
        <f>VLOOKUP(E92,dimensao_bairro!A:B,2,FALSE)</f>
        <v>Matriz</v>
      </c>
      <c r="O92" t="str">
        <f>INDEX(dimensao_bairro!B:B,MATCH(tabela_origem!E92,dimensao_bairro!A:A,0))</f>
        <v>Matriz</v>
      </c>
      <c r="P92" t="str">
        <f t="shared" si="5"/>
        <v>BAIXO</v>
      </c>
    </row>
    <row r="93" spans="1:16" x14ac:dyDescent="0.25">
      <c r="A93" s="1">
        <v>46094</v>
      </c>
      <c r="B93" s="1" t="s">
        <v>42</v>
      </c>
      <c r="C93" s="2">
        <v>0.35625000000000001</v>
      </c>
      <c r="D93" s="2" t="str">
        <f t="shared" si="3"/>
        <v>08h</v>
      </c>
      <c r="E93" t="s">
        <v>20</v>
      </c>
      <c r="F93" t="str">
        <f>VLOOKUP(E93,dimensao_bairro!A:B,2,FALSE)</f>
        <v>Matriz</v>
      </c>
      <c r="G93" t="s">
        <v>43</v>
      </c>
      <c r="H93" s="5">
        <v>6.5</v>
      </c>
      <c r="I93" s="5">
        <v>2.2000000000000002</v>
      </c>
      <c r="J93" t="str">
        <f t="shared" si="4"/>
        <v>Média</v>
      </c>
      <c r="M93" t="str">
        <f>VLOOKUP(E93,dimensao_bairro!A:B,2,FALSE)</f>
        <v>Matriz</v>
      </c>
      <c r="O93" t="str">
        <f>INDEX(dimensao_bairro!B:B,MATCH(tabela_origem!E93,dimensao_bairro!A:A,0))</f>
        <v>Matriz</v>
      </c>
      <c r="P93" t="str">
        <f t="shared" si="5"/>
        <v>BAIXO</v>
      </c>
    </row>
    <row r="94" spans="1:16" x14ac:dyDescent="0.25">
      <c r="A94" s="1">
        <v>46097</v>
      </c>
      <c r="B94" s="1" t="s">
        <v>42</v>
      </c>
      <c r="C94" s="2">
        <v>0.31527777777777777</v>
      </c>
      <c r="D94" s="2" t="str">
        <f t="shared" si="3"/>
        <v>07h</v>
      </c>
      <c r="E94" t="s">
        <v>5</v>
      </c>
      <c r="F94" t="str">
        <f>VLOOKUP(E94,dimensao_bairro!A:B,2,FALSE)</f>
        <v>Portão</v>
      </c>
      <c r="G94" t="s">
        <v>38</v>
      </c>
      <c r="H94" s="5">
        <v>38.01</v>
      </c>
      <c r="I94" s="5">
        <v>6.2</v>
      </c>
      <c r="J94" t="str">
        <f t="shared" si="4"/>
        <v>Longa</v>
      </c>
      <c r="M94" t="str">
        <f>VLOOKUP(E94,dimensao_bairro!A:B,2,FALSE)</f>
        <v>Portão</v>
      </c>
      <c r="O94" t="str">
        <f>INDEX(dimensao_bairro!B:B,MATCH(tabela_origem!E94,dimensao_bairro!A:A,0))</f>
        <v>Portão</v>
      </c>
      <c r="P94" t="str">
        <f t="shared" si="5"/>
        <v>ALTO</v>
      </c>
    </row>
    <row r="95" spans="1:16" x14ac:dyDescent="0.25">
      <c r="A95" s="1">
        <v>46097</v>
      </c>
      <c r="B95" s="1" t="s">
        <v>42</v>
      </c>
      <c r="C95" s="2">
        <v>0.33055555555555555</v>
      </c>
      <c r="D95" s="2" t="str">
        <f t="shared" si="3"/>
        <v>07h</v>
      </c>
      <c r="E95" t="s">
        <v>44</v>
      </c>
      <c r="F95" t="str">
        <f>VLOOKUP(E95,dimensao_bairro!A:B,2,FALSE)</f>
        <v>Cajuru</v>
      </c>
      <c r="G95" t="s">
        <v>53</v>
      </c>
      <c r="H95" s="5">
        <v>34.799999999999997</v>
      </c>
      <c r="I95" s="5">
        <v>8</v>
      </c>
      <c r="J95" t="str">
        <f t="shared" si="4"/>
        <v>Longa</v>
      </c>
      <c r="M95" t="str">
        <f>VLOOKUP(E95,dimensao_bairro!A:B,2,FALSE)</f>
        <v>Cajuru</v>
      </c>
      <c r="O95" t="str">
        <f>INDEX(dimensao_bairro!B:B,MATCH(tabela_origem!E95,dimensao_bairro!A:A,0))</f>
        <v>Cajuru</v>
      </c>
      <c r="P95" t="str">
        <f t="shared" si="5"/>
        <v>ALTO</v>
      </c>
    </row>
    <row r="96" spans="1:16" x14ac:dyDescent="0.25">
      <c r="A96" s="1">
        <v>46097</v>
      </c>
      <c r="B96" s="1" t="s">
        <v>42</v>
      </c>
      <c r="C96" s="2">
        <v>0.36874999999999997</v>
      </c>
      <c r="D96" s="2" t="str">
        <f t="shared" si="3"/>
        <v>08h</v>
      </c>
      <c r="E96" t="s">
        <v>13</v>
      </c>
      <c r="F96" t="str">
        <f>VLOOKUP(E96,dimensao_bairro!A:B,2,FALSE)</f>
        <v>Matriz</v>
      </c>
      <c r="G96" t="s">
        <v>9</v>
      </c>
      <c r="H96" s="5">
        <v>9.8000000000000007</v>
      </c>
      <c r="I96" s="5">
        <v>4.4000000000000004</v>
      </c>
      <c r="J96" t="str">
        <f t="shared" si="4"/>
        <v>Longa</v>
      </c>
      <c r="M96" t="str">
        <f>VLOOKUP(E96,dimensao_bairro!A:B,2,FALSE)</f>
        <v>Matriz</v>
      </c>
      <c r="O96" t="str">
        <f>INDEX(dimensao_bairro!B:B,MATCH(tabela_origem!E96,dimensao_bairro!A:A,0))</f>
        <v>Matriz</v>
      </c>
      <c r="P96" t="str">
        <f t="shared" si="5"/>
        <v>MÉDIO</v>
      </c>
    </row>
    <row r="97" spans="1:16" x14ac:dyDescent="0.25">
      <c r="A97" s="1">
        <v>46097</v>
      </c>
      <c r="B97" s="1" t="s">
        <v>42</v>
      </c>
      <c r="C97" s="2">
        <v>0.39166666666666666</v>
      </c>
      <c r="D97" s="2" t="str">
        <f t="shared" si="3"/>
        <v>09h</v>
      </c>
      <c r="E97" t="s">
        <v>35</v>
      </c>
      <c r="F97" t="str">
        <f>VLOOKUP(E97,dimensao_bairro!A:B,2,FALSE)</f>
        <v>Matriz</v>
      </c>
      <c r="G97" t="s">
        <v>6</v>
      </c>
      <c r="H97" s="5">
        <v>9.4</v>
      </c>
      <c r="I97" s="5">
        <v>3.9</v>
      </c>
      <c r="J97" t="str">
        <f t="shared" si="4"/>
        <v>Média</v>
      </c>
      <c r="M97" t="str">
        <f>VLOOKUP(E97,dimensao_bairro!A:B,2,FALSE)</f>
        <v>Matriz</v>
      </c>
      <c r="O97" t="str">
        <f>INDEX(dimensao_bairro!B:B,MATCH(tabela_origem!E97,dimensao_bairro!A:A,0))</f>
        <v>Matriz</v>
      </c>
      <c r="P97" t="str">
        <f t="shared" si="5"/>
        <v>MÉDIO</v>
      </c>
    </row>
    <row r="98" spans="1:16" x14ac:dyDescent="0.25">
      <c r="A98" s="1">
        <v>46097</v>
      </c>
      <c r="B98" s="1" t="s">
        <v>42</v>
      </c>
      <c r="C98" s="2">
        <v>0.41319444444444442</v>
      </c>
      <c r="D98" s="2" t="str">
        <f t="shared" si="3"/>
        <v>09h</v>
      </c>
      <c r="E98" t="s">
        <v>9</v>
      </c>
      <c r="F98" t="str">
        <f>VLOOKUP(E98,dimensao_bairro!A:B,2,FALSE)</f>
        <v>Portão</v>
      </c>
      <c r="G98" t="s">
        <v>35</v>
      </c>
      <c r="H98" s="5">
        <v>7.98</v>
      </c>
      <c r="I98" s="5">
        <v>2.7</v>
      </c>
      <c r="J98" t="str">
        <f t="shared" si="4"/>
        <v>Média</v>
      </c>
      <c r="M98" t="str">
        <f>VLOOKUP(E98,dimensao_bairro!A:B,2,FALSE)</f>
        <v>Portão</v>
      </c>
      <c r="O98" t="str">
        <f>INDEX(dimensao_bairro!B:B,MATCH(tabela_origem!E98,dimensao_bairro!A:A,0))</f>
        <v>Portão</v>
      </c>
      <c r="P98" t="str">
        <f t="shared" si="5"/>
        <v>MÉDIO</v>
      </c>
    </row>
    <row r="99" spans="1:16" x14ac:dyDescent="0.25">
      <c r="A99" s="1">
        <v>46097</v>
      </c>
      <c r="B99" s="1" t="s">
        <v>42</v>
      </c>
      <c r="C99" s="2">
        <v>0.38472222222222219</v>
      </c>
      <c r="D99" s="2" t="str">
        <f t="shared" si="3"/>
        <v>09h</v>
      </c>
      <c r="E99" t="s">
        <v>53</v>
      </c>
      <c r="F99" t="str">
        <f>VLOOKUP(E99,dimensao_bairro!A:B,2,FALSE)</f>
        <v>Matriz</v>
      </c>
      <c r="G99" t="s">
        <v>13</v>
      </c>
      <c r="H99" s="5">
        <v>7.15</v>
      </c>
      <c r="I99" s="5">
        <v>2</v>
      </c>
      <c r="J99" t="str">
        <f t="shared" si="4"/>
        <v>Curta</v>
      </c>
      <c r="M99" t="str">
        <f>VLOOKUP(E99,dimensao_bairro!A:B,2,FALSE)</f>
        <v>Matriz</v>
      </c>
      <c r="O99" t="str">
        <f>INDEX(dimensao_bairro!B:B,MATCH(tabela_origem!E99,dimensao_bairro!A:A,0))</f>
        <v>Matriz</v>
      </c>
      <c r="P99" t="str">
        <f t="shared" si="5"/>
        <v>MÉDIO</v>
      </c>
    </row>
    <row r="100" spans="1:16" x14ac:dyDescent="0.25">
      <c r="A100" s="1">
        <v>46097</v>
      </c>
      <c r="B100" s="1" t="s">
        <v>42</v>
      </c>
      <c r="C100" s="2">
        <v>0.35972222222222222</v>
      </c>
      <c r="D100" s="2" t="str">
        <f t="shared" si="3"/>
        <v>08h</v>
      </c>
      <c r="E100" t="s">
        <v>13</v>
      </c>
      <c r="F100" t="str">
        <f>VLOOKUP(E100,dimensao_bairro!A:B,2,FALSE)</f>
        <v>Matriz</v>
      </c>
      <c r="G100" t="s">
        <v>26</v>
      </c>
      <c r="H100" s="5">
        <v>6.6</v>
      </c>
      <c r="I100" s="5">
        <v>1.3</v>
      </c>
      <c r="J100" t="str">
        <f t="shared" si="4"/>
        <v>Curta</v>
      </c>
      <c r="M100" t="str">
        <f>VLOOKUP(E100,dimensao_bairro!A:B,2,FALSE)</f>
        <v>Matriz</v>
      </c>
      <c r="O100" t="str">
        <f>INDEX(dimensao_bairro!B:B,MATCH(tabela_origem!E100,dimensao_bairro!A:A,0))</f>
        <v>Matriz</v>
      </c>
      <c r="P100" t="str">
        <f t="shared" si="5"/>
        <v>BAIXO</v>
      </c>
    </row>
    <row r="101" spans="1:16" x14ac:dyDescent="0.25">
      <c r="A101" s="1">
        <v>46098</v>
      </c>
      <c r="B101" s="1" t="s">
        <v>42</v>
      </c>
      <c r="C101" s="2">
        <v>0.32083333333333336</v>
      </c>
      <c r="D101" s="2" t="str">
        <f t="shared" si="3"/>
        <v>07h</v>
      </c>
      <c r="E101" t="s">
        <v>26</v>
      </c>
      <c r="F101" t="str">
        <f>VLOOKUP(E101,dimensao_bairro!A:B,2,FALSE)</f>
        <v>Portão</v>
      </c>
      <c r="G101" t="s">
        <v>28</v>
      </c>
      <c r="H101" s="5">
        <v>11.3</v>
      </c>
      <c r="I101" s="5">
        <v>2.8</v>
      </c>
      <c r="J101" t="str">
        <f t="shared" si="4"/>
        <v>Média</v>
      </c>
      <c r="M101" t="str">
        <f>VLOOKUP(E101,dimensao_bairro!A:B,2,FALSE)</f>
        <v>Portão</v>
      </c>
      <c r="O101" t="str">
        <f>INDEX(dimensao_bairro!B:B,MATCH(tabela_origem!E101,dimensao_bairro!A:A,0))</f>
        <v>Portão</v>
      </c>
      <c r="P101" t="str">
        <f t="shared" si="5"/>
        <v>ALTO</v>
      </c>
    </row>
    <row r="102" spans="1:16" x14ac:dyDescent="0.25">
      <c r="A102" s="1">
        <v>46098</v>
      </c>
      <c r="B102" s="1" t="s">
        <v>42</v>
      </c>
      <c r="C102" s="2">
        <v>0.32916666666666666</v>
      </c>
      <c r="D102" s="2" t="str">
        <f t="shared" si="3"/>
        <v>07h</v>
      </c>
      <c r="E102" t="s">
        <v>26</v>
      </c>
      <c r="F102" t="str">
        <f>VLOOKUP(E102,dimensao_bairro!A:B,2,FALSE)</f>
        <v>Portão</v>
      </c>
      <c r="G102" t="s">
        <v>5</v>
      </c>
      <c r="H102" s="5">
        <v>9.9</v>
      </c>
      <c r="I102" s="5">
        <v>2.5</v>
      </c>
      <c r="J102" t="str">
        <f t="shared" si="4"/>
        <v>Média</v>
      </c>
      <c r="M102" t="str">
        <f>VLOOKUP(E102,dimensao_bairro!A:B,2,FALSE)</f>
        <v>Portão</v>
      </c>
      <c r="O102" t="str">
        <f>INDEX(dimensao_bairro!B:B,MATCH(tabela_origem!E102,dimensao_bairro!A:A,0))</f>
        <v>Portão</v>
      </c>
      <c r="P102" t="str">
        <f t="shared" si="5"/>
        <v>MÉDIO</v>
      </c>
    </row>
    <row r="103" spans="1:16" x14ac:dyDescent="0.25">
      <c r="A103" s="1">
        <v>46098</v>
      </c>
      <c r="B103" s="1" t="s">
        <v>42</v>
      </c>
      <c r="C103" s="2">
        <v>0.41041666666666665</v>
      </c>
      <c r="D103" s="2" t="str">
        <f t="shared" si="3"/>
        <v>09h</v>
      </c>
      <c r="E103" t="s">
        <v>6</v>
      </c>
      <c r="F103" t="str">
        <f>VLOOKUP(E103,dimensao_bairro!A:B,2,FALSE)</f>
        <v>Portão</v>
      </c>
      <c r="G103" t="s">
        <v>9</v>
      </c>
      <c r="H103" s="5">
        <v>8.6</v>
      </c>
      <c r="I103" s="5">
        <v>3.9</v>
      </c>
      <c r="J103" t="str">
        <f t="shared" si="4"/>
        <v>Média</v>
      </c>
      <c r="M103" t="str">
        <f>VLOOKUP(E103,dimensao_bairro!A:B,2,FALSE)</f>
        <v>Portão</v>
      </c>
      <c r="O103" t="str">
        <f>INDEX(dimensao_bairro!B:B,MATCH(tabela_origem!E103,dimensao_bairro!A:A,0))</f>
        <v>Portão</v>
      </c>
      <c r="P103" t="str">
        <f t="shared" si="5"/>
        <v>MÉDIO</v>
      </c>
    </row>
    <row r="104" spans="1:16" x14ac:dyDescent="0.25">
      <c r="A104" s="1">
        <v>46098</v>
      </c>
      <c r="B104" s="1" t="s">
        <v>42</v>
      </c>
      <c r="C104" s="2">
        <v>0.34027777777777773</v>
      </c>
      <c r="D104" s="2" t="str">
        <f t="shared" si="3"/>
        <v>08h</v>
      </c>
      <c r="E104" t="s">
        <v>6</v>
      </c>
      <c r="F104" t="str">
        <f>VLOOKUP(E104,dimensao_bairro!A:B,2,FALSE)</f>
        <v>Portão</v>
      </c>
      <c r="G104" t="s">
        <v>9</v>
      </c>
      <c r="H104" s="5">
        <v>8.1999999999999993</v>
      </c>
      <c r="I104" s="5">
        <v>2.5</v>
      </c>
      <c r="J104" t="str">
        <f t="shared" si="4"/>
        <v>Média</v>
      </c>
      <c r="M104" t="str">
        <f>VLOOKUP(E104,dimensao_bairro!A:B,2,FALSE)</f>
        <v>Portão</v>
      </c>
      <c r="O104" t="str">
        <f>INDEX(dimensao_bairro!B:B,MATCH(tabela_origem!E104,dimensao_bairro!A:A,0))</f>
        <v>Portão</v>
      </c>
      <c r="P104" t="str">
        <f t="shared" si="5"/>
        <v>MÉDIO</v>
      </c>
    </row>
    <row r="105" spans="1:16" x14ac:dyDescent="0.25">
      <c r="A105" s="1">
        <v>46098</v>
      </c>
      <c r="B105" s="1" t="s">
        <v>42</v>
      </c>
      <c r="C105" s="2">
        <v>0.34722222222222227</v>
      </c>
      <c r="D105" s="2" t="str">
        <f t="shared" si="3"/>
        <v>08h</v>
      </c>
      <c r="E105" t="s">
        <v>6</v>
      </c>
      <c r="F105" t="str">
        <f>VLOOKUP(E105,dimensao_bairro!A:B,2,FALSE)</f>
        <v>Portão</v>
      </c>
      <c r="G105" t="s">
        <v>9</v>
      </c>
      <c r="H105" s="5">
        <v>7.5</v>
      </c>
      <c r="I105" s="5">
        <v>2.7</v>
      </c>
      <c r="J105" t="str">
        <f t="shared" si="4"/>
        <v>Média</v>
      </c>
      <c r="M105" t="str">
        <f>VLOOKUP(E105,dimensao_bairro!A:B,2,FALSE)</f>
        <v>Portão</v>
      </c>
      <c r="O105" t="str">
        <f>INDEX(dimensao_bairro!B:B,MATCH(tabela_origem!E105,dimensao_bairro!A:A,0))</f>
        <v>Portão</v>
      </c>
      <c r="P105" t="str">
        <f t="shared" si="5"/>
        <v>MÉDIO</v>
      </c>
    </row>
    <row r="106" spans="1:16" x14ac:dyDescent="0.25">
      <c r="A106" s="1">
        <v>46098</v>
      </c>
      <c r="B106" s="1" t="s">
        <v>42</v>
      </c>
      <c r="C106" s="2">
        <v>0.36249999999999999</v>
      </c>
      <c r="D106" s="2" t="str">
        <f t="shared" si="3"/>
        <v>08h</v>
      </c>
      <c r="E106" t="s">
        <v>5</v>
      </c>
      <c r="F106" t="str">
        <f>VLOOKUP(E106,dimensao_bairro!A:B,2,FALSE)</f>
        <v>Portão</v>
      </c>
      <c r="G106" t="s">
        <v>6</v>
      </c>
      <c r="H106" s="5">
        <v>6.8</v>
      </c>
      <c r="I106" s="5">
        <v>2.7</v>
      </c>
      <c r="J106" t="str">
        <f t="shared" si="4"/>
        <v>Média</v>
      </c>
      <c r="M106" t="str">
        <f>VLOOKUP(E106,dimensao_bairro!A:B,2,FALSE)</f>
        <v>Portão</v>
      </c>
      <c r="O106" t="str">
        <f>INDEX(dimensao_bairro!B:B,MATCH(tabela_origem!E106,dimensao_bairro!A:A,0))</f>
        <v>Portão</v>
      </c>
      <c r="P106" t="str">
        <f t="shared" si="5"/>
        <v>BAIXO</v>
      </c>
    </row>
    <row r="107" spans="1:16" x14ac:dyDescent="0.25">
      <c r="A107" s="1">
        <v>46098</v>
      </c>
      <c r="B107" s="1" t="s">
        <v>42</v>
      </c>
      <c r="C107" s="2">
        <v>0.40208333333333335</v>
      </c>
      <c r="D107" s="2" t="str">
        <f t="shared" si="3"/>
        <v>09h</v>
      </c>
      <c r="E107" t="s">
        <v>9</v>
      </c>
      <c r="F107" t="str">
        <f>VLOOKUP(E107,dimensao_bairro!A:B,2,FALSE)</f>
        <v>Portão</v>
      </c>
      <c r="G107" t="s">
        <v>9</v>
      </c>
      <c r="H107" s="5">
        <v>6.6</v>
      </c>
      <c r="I107" s="5">
        <v>1.6</v>
      </c>
      <c r="J107" t="str">
        <f t="shared" si="4"/>
        <v>Curta</v>
      </c>
      <c r="M107" t="str">
        <f>VLOOKUP(E107,dimensao_bairro!A:B,2,FALSE)</f>
        <v>Portão</v>
      </c>
      <c r="O107" t="str">
        <f>INDEX(dimensao_bairro!B:B,MATCH(tabela_origem!E107,dimensao_bairro!A:A,0))</f>
        <v>Portão</v>
      </c>
      <c r="P107" t="str">
        <f t="shared" si="5"/>
        <v>BAIXO</v>
      </c>
    </row>
    <row r="108" spans="1:16" x14ac:dyDescent="0.25">
      <c r="A108" s="1">
        <v>46098</v>
      </c>
      <c r="B108" s="1" t="s">
        <v>42</v>
      </c>
      <c r="C108" s="2">
        <v>0.36944444444444446</v>
      </c>
      <c r="D108" s="2" t="str">
        <f t="shared" si="3"/>
        <v>08h</v>
      </c>
      <c r="E108" t="s">
        <v>9</v>
      </c>
      <c r="F108" t="str">
        <f>VLOOKUP(E108,dimensao_bairro!A:B,2,FALSE)</f>
        <v>Portão</v>
      </c>
      <c r="G108" t="s">
        <v>9</v>
      </c>
      <c r="H108" s="5">
        <v>6.5</v>
      </c>
      <c r="I108" s="5">
        <v>1.8</v>
      </c>
      <c r="J108" t="str">
        <f t="shared" si="4"/>
        <v>Curta</v>
      </c>
      <c r="M108" t="str">
        <f>VLOOKUP(E108,dimensao_bairro!A:B,2,FALSE)</f>
        <v>Portão</v>
      </c>
      <c r="O108" t="str">
        <f>INDEX(dimensao_bairro!B:B,MATCH(tabela_origem!E108,dimensao_bairro!A:A,0))</f>
        <v>Portão</v>
      </c>
      <c r="P108" t="str">
        <f t="shared" si="5"/>
        <v>BAIXO</v>
      </c>
    </row>
    <row r="109" spans="1:16" x14ac:dyDescent="0.25">
      <c r="A109" s="1">
        <v>46098</v>
      </c>
      <c r="B109" s="1" t="s">
        <v>42</v>
      </c>
      <c r="C109" s="2">
        <v>0.37638888888888888</v>
      </c>
      <c r="D109" s="2" t="str">
        <f t="shared" si="3"/>
        <v>09h</v>
      </c>
      <c r="E109" t="s">
        <v>9</v>
      </c>
      <c r="F109" t="str">
        <f>VLOOKUP(E109,dimensao_bairro!A:B,2,FALSE)</f>
        <v>Portão</v>
      </c>
      <c r="G109" t="s">
        <v>29</v>
      </c>
      <c r="H109" s="5">
        <v>6.5</v>
      </c>
      <c r="I109" s="5">
        <v>2.7</v>
      </c>
      <c r="J109" t="str">
        <f t="shared" si="4"/>
        <v>Média</v>
      </c>
      <c r="M109" t="str">
        <f>VLOOKUP(E109,dimensao_bairro!A:B,2,FALSE)</f>
        <v>Portão</v>
      </c>
      <c r="O109" t="str">
        <f>INDEX(dimensao_bairro!B:B,MATCH(tabela_origem!E109,dimensao_bairro!A:A,0))</f>
        <v>Portão</v>
      </c>
      <c r="P109" t="str">
        <f t="shared" si="5"/>
        <v>BAIXO</v>
      </c>
    </row>
    <row r="110" spans="1:16" x14ac:dyDescent="0.25">
      <c r="A110" s="1">
        <v>46098</v>
      </c>
      <c r="B110" s="1" t="s">
        <v>42</v>
      </c>
      <c r="C110" s="2">
        <v>0.33611111111111108</v>
      </c>
      <c r="D110" s="2" t="str">
        <f t="shared" si="3"/>
        <v>08h</v>
      </c>
      <c r="E110" t="s">
        <v>28</v>
      </c>
      <c r="F110" t="str">
        <f>VLOOKUP(E110,dimensao_bairro!A:B,2,FALSE)</f>
        <v>CIC</v>
      </c>
      <c r="G110" t="s">
        <v>20</v>
      </c>
      <c r="H110" s="5">
        <v>6.5</v>
      </c>
      <c r="I110" s="5">
        <v>2.6</v>
      </c>
      <c r="J110" t="str">
        <f t="shared" si="4"/>
        <v>Média</v>
      </c>
      <c r="M110" t="str">
        <f>VLOOKUP(E110,dimensao_bairro!A:B,2,FALSE)</f>
        <v>CIC</v>
      </c>
      <c r="O110" t="str">
        <f>INDEX(dimensao_bairro!B:B,MATCH(tabela_origem!E110,dimensao_bairro!A:A,0))</f>
        <v>CIC</v>
      </c>
      <c r="P110" t="str">
        <f t="shared" si="5"/>
        <v>BAIXO</v>
      </c>
    </row>
    <row r="111" spans="1:16" x14ac:dyDescent="0.25">
      <c r="A111" s="1">
        <v>46098</v>
      </c>
      <c r="B111" s="1" t="s">
        <v>42</v>
      </c>
      <c r="C111" s="2">
        <v>0.3888888888888889</v>
      </c>
      <c r="D111" s="2" t="str">
        <f t="shared" si="3"/>
        <v>09h</v>
      </c>
      <c r="E111" t="s">
        <v>5</v>
      </c>
      <c r="F111" t="str">
        <f>VLOOKUP(E111,dimensao_bairro!A:B,2,FALSE)</f>
        <v>Portão</v>
      </c>
      <c r="G111" t="s">
        <v>10</v>
      </c>
      <c r="H111" s="5">
        <v>6.5</v>
      </c>
      <c r="I111" s="5">
        <v>0.7</v>
      </c>
      <c r="J111" t="str">
        <f t="shared" si="4"/>
        <v>Curta</v>
      </c>
      <c r="M111" t="str">
        <f>VLOOKUP(E111,dimensao_bairro!A:B,2,FALSE)</f>
        <v>Portão</v>
      </c>
      <c r="O111" t="str">
        <f>INDEX(dimensao_bairro!B:B,MATCH(tabela_origem!E111,dimensao_bairro!A:A,0))</f>
        <v>Portão</v>
      </c>
      <c r="P111" t="str">
        <f t="shared" si="5"/>
        <v>BAIXO</v>
      </c>
    </row>
    <row r="112" spans="1:16" x14ac:dyDescent="0.25">
      <c r="A112" s="1">
        <v>46099</v>
      </c>
      <c r="B112" s="1" t="s">
        <v>42</v>
      </c>
      <c r="C112" s="2">
        <v>0.32916666666666666</v>
      </c>
      <c r="D112" s="2" t="str">
        <f t="shared" si="3"/>
        <v>07h</v>
      </c>
      <c r="E112" t="s">
        <v>12</v>
      </c>
      <c r="F112" t="str">
        <f>VLOOKUP(E112,dimensao_bairro!A:B,2,FALSE)</f>
        <v>Portão</v>
      </c>
      <c r="G112" t="s">
        <v>26</v>
      </c>
      <c r="H112" s="5">
        <v>11.9</v>
      </c>
      <c r="I112" s="5">
        <v>3.4</v>
      </c>
      <c r="J112" t="str">
        <f t="shared" si="4"/>
        <v>Média</v>
      </c>
      <c r="M112" t="str">
        <f>VLOOKUP(E112,dimensao_bairro!A:B,2,FALSE)</f>
        <v>Portão</v>
      </c>
      <c r="O112" t="str">
        <f>INDEX(dimensao_bairro!B:B,MATCH(tabela_origem!E112,dimensao_bairro!A:A,0))</f>
        <v>Portão</v>
      </c>
      <c r="P112" t="str">
        <f t="shared" si="5"/>
        <v>ALTO</v>
      </c>
    </row>
    <row r="113" spans="1:16" x14ac:dyDescent="0.25">
      <c r="A113" s="1">
        <v>46099</v>
      </c>
      <c r="B113" s="1" t="s">
        <v>42</v>
      </c>
      <c r="C113" s="2">
        <v>0.31805555555555554</v>
      </c>
      <c r="D113" s="2" t="str">
        <f t="shared" si="3"/>
        <v>07h</v>
      </c>
      <c r="E113" t="s">
        <v>26</v>
      </c>
      <c r="F113" t="str">
        <f>VLOOKUP(E113,dimensao_bairro!A:B,2,FALSE)</f>
        <v>Portão</v>
      </c>
      <c r="G113" t="s">
        <v>26</v>
      </c>
      <c r="H113" s="5">
        <v>11.2</v>
      </c>
      <c r="I113" s="5">
        <v>0.9</v>
      </c>
      <c r="J113" t="str">
        <f t="shared" si="4"/>
        <v>Curta</v>
      </c>
      <c r="M113" t="str">
        <f>VLOOKUP(E113,dimensao_bairro!A:B,2,FALSE)</f>
        <v>Portão</v>
      </c>
      <c r="O113" t="str">
        <f>INDEX(dimensao_bairro!B:B,MATCH(tabela_origem!E113,dimensao_bairro!A:A,0))</f>
        <v>Portão</v>
      </c>
      <c r="P113" t="str">
        <f t="shared" si="5"/>
        <v>ALTO</v>
      </c>
    </row>
    <row r="114" spans="1:16" x14ac:dyDescent="0.25">
      <c r="A114" s="1">
        <v>46099</v>
      </c>
      <c r="B114" s="1" t="s">
        <v>42</v>
      </c>
      <c r="C114" s="2">
        <v>0.3520833333333333</v>
      </c>
      <c r="D114" s="2" t="str">
        <f t="shared" si="3"/>
        <v>08h</v>
      </c>
      <c r="E114" t="s">
        <v>9</v>
      </c>
      <c r="F114" t="str">
        <f>VLOOKUP(E114,dimensao_bairro!A:B,2,FALSE)</f>
        <v>Portão</v>
      </c>
      <c r="G114" t="s">
        <v>26</v>
      </c>
      <c r="H114" s="5">
        <v>11.1</v>
      </c>
      <c r="I114" s="5">
        <v>6.5</v>
      </c>
      <c r="J114" t="str">
        <f t="shared" si="4"/>
        <v>Longa</v>
      </c>
      <c r="M114" t="str">
        <f>VLOOKUP(E114,dimensao_bairro!A:B,2,FALSE)</f>
        <v>Portão</v>
      </c>
      <c r="O114" t="str">
        <f>INDEX(dimensao_bairro!B:B,MATCH(tabela_origem!E114,dimensao_bairro!A:A,0))</f>
        <v>Portão</v>
      </c>
      <c r="P114" t="str">
        <f t="shared" si="5"/>
        <v>ALTO</v>
      </c>
    </row>
    <row r="115" spans="1:16" x14ac:dyDescent="0.25">
      <c r="A115" s="1">
        <v>46099</v>
      </c>
      <c r="B115" s="1" t="s">
        <v>42</v>
      </c>
      <c r="C115" s="2">
        <v>0.32361111111111113</v>
      </c>
      <c r="D115" s="2" t="str">
        <f t="shared" si="3"/>
        <v>07h</v>
      </c>
      <c r="E115" t="s">
        <v>26</v>
      </c>
      <c r="F115" t="str">
        <f>VLOOKUP(E115,dimensao_bairro!A:B,2,FALSE)</f>
        <v>Portão</v>
      </c>
      <c r="G115" t="s">
        <v>6</v>
      </c>
      <c r="H115" s="5">
        <v>9</v>
      </c>
      <c r="I115" s="5">
        <v>0.9</v>
      </c>
      <c r="J115" t="str">
        <f t="shared" si="4"/>
        <v>Curta</v>
      </c>
      <c r="M115" t="str">
        <f>VLOOKUP(E115,dimensao_bairro!A:B,2,FALSE)</f>
        <v>Portão</v>
      </c>
      <c r="O115" t="str">
        <f>INDEX(dimensao_bairro!B:B,MATCH(tabela_origem!E115,dimensao_bairro!A:A,0))</f>
        <v>Portão</v>
      </c>
      <c r="P115" t="str">
        <f t="shared" si="5"/>
        <v>MÉDIO</v>
      </c>
    </row>
    <row r="116" spans="1:16" x14ac:dyDescent="0.25">
      <c r="A116" s="1">
        <v>46099</v>
      </c>
      <c r="B116" s="1" t="s">
        <v>42</v>
      </c>
      <c r="C116" s="2">
        <v>0.36944444444444446</v>
      </c>
      <c r="D116" s="2" t="str">
        <f t="shared" si="3"/>
        <v>08h</v>
      </c>
      <c r="E116" t="s">
        <v>29</v>
      </c>
      <c r="F116" t="str">
        <f>VLOOKUP(E116,dimensao_bairro!A:B,2,FALSE)</f>
        <v>Portão</v>
      </c>
      <c r="G116" t="s">
        <v>6</v>
      </c>
      <c r="H116" s="5">
        <v>8.6999999999999993</v>
      </c>
      <c r="I116" s="5">
        <v>3.7</v>
      </c>
      <c r="J116" t="str">
        <f t="shared" si="4"/>
        <v>Média</v>
      </c>
      <c r="M116" t="str">
        <f>VLOOKUP(E116,dimensao_bairro!A:B,2,FALSE)</f>
        <v>Portão</v>
      </c>
      <c r="O116" t="str">
        <f>INDEX(dimensao_bairro!B:B,MATCH(tabela_origem!E116,dimensao_bairro!A:A,0))</f>
        <v>Portão</v>
      </c>
      <c r="P116" t="str">
        <f t="shared" si="5"/>
        <v>MÉDIO</v>
      </c>
    </row>
    <row r="117" spans="1:16" x14ac:dyDescent="0.25">
      <c r="A117" s="1">
        <v>46099</v>
      </c>
      <c r="B117" s="1" t="s">
        <v>42</v>
      </c>
      <c r="C117" s="2">
        <v>0.41666666666666669</v>
      </c>
      <c r="D117" s="2" t="str">
        <f t="shared" si="3"/>
        <v>10h</v>
      </c>
      <c r="E117" t="s">
        <v>27</v>
      </c>
      <c r="F117" t="str">
        <f>VLOOKUP(E117,dimensao_bairro!A:B,2,FALSE)</f>
        <v>Pinheirinho</v>
      </c>
      <c r="G117" t="s">
        <v>6</v>
      </c>
      <c r="H117" s="5">
        <v>8.3000000000000007</v>
      </c>
      <c r="I117" s="5">
        <v>3.9</v>
      </c>
      <c r="J117" t="str">
        <f t="shared" si="4"/>
        <v>Média</v>
      </c>
      <c r="M117" t="str">
        <f>VLOOKUP(E117,dimensao_bairro!A:B,2,FALSE)</f>
        <v>Pinheirinho</v>
      </c>
      <c r="O117" t="str">
        <f>INDEX(dimensao_bairro!B:B,MATCH(tabela_origem!E117,dimensao_bairro!A:A,0))</f>
        <v>Pinheirinho</v>
      </c>
      <c r="P117" t="str">
        <f t="shared" si="5"/>
        <v>MÉDIO</v>
      </c>
    </row>
    <row r="118" spans="1:16" x14ac:dyDescent="0.25">
      <c r="A118" s="1">
        <v>46099</v>
      </c>
      <c r="B118" s="1" t="s">
        <v>42</v>
      </c>
      <c r="C118" s="2">
        <v>0.38125000000000003</v>
      </c>
      <c r="D118" s="2" t="str">
        <f t="shared" si="3"/>
        <v>09h</v>
      </c>
      <c r="E118" t="s">
        <v>26</v>
      </c>
      <c r="F118" t="str">
        <f>VLOOKUP(E118,dimensao_bairro!A:B,2,FALSE)</f>
        <v>Portão</v>
      </c>
      <c r="G118" t="s">
        <v>9</v>
      </c>
      <c r="H118" s="5">
        <v>7.6</v>
      </c>
      <c r="I118" s="5">
        <v>2.8</v>
      </c>
      <c r="J118" t="str">
        <f t="shared" si="4"/>
        <v>Média</v>
      </c>
      <c r="M118" t="str">
        <f>VLOOKUP(E118,dimensao_bairro!A:B,2,FALSE)</f>
        <v>Portão</v>
      </c>
      <c r="O118" t="str">
        <f>INDEX(dimensao_bairro!B:B,MATCH(tabela_origem!E118,dimensao_bairro!A:A,0))</f>
        <v>Portão</v>
      </c>
      <c r="P118" t="str">
        <f t="shared" si="5"/>
        <v>MÉDIO</v>
      </c>
    </row>
    <row r="119" spans="1:16" x14ac:dyDescent="0.25">
      <c r="A119" s="1">
        <v>46099</v>
      </c>
      <c r="B119" s="1" t="s">
        <v>42</v>
      </c>
      <c r="C119" s="2">
        <v>0.33819444444444446</v>
      </c>
      <c r="D119" s="2" t="str">
        <f t="shared" si="3"/>
        <v>08h</v>
      </c>
      <c r="E119" t="s">
        <v>10</v>
      </c>
      <c r="F119" t="str">
        <f>VLOOKUP(E119,dimensao_bairro!A:B,2,FALSE)</f>
        <v>Portão</v>
      </c>
      <c r="G119" t="s">
        <v>27</v>
      </c>
      <c r="H119" s="5">
        <v>7.1</v>
      </c>
      <c r="I119" s="5">
        <v>4.3</v>
      </c>
      <c r="J119" t="str">
        <f t="shared" si="4"/>
        <v>Longa</v>
      </c>
      <c r="M119" t="str">
        <f>VLOOKUP(E119,dimensao_bairro!A:B,2,FALSE)</f>
        <v>Portão</v>
      </c>
      <c r="O119" t="str">
        <f>INDEX(dimensao_bairro!B:B,MATCH(tabela_origem!E119,dimensao_bairro!A:A,0))</f>
        <v>Portão</v>
      </c>
      <c r="P119" t="str">
        <f t="shared" si="5"/>
        <v>MÉDIO</v>
      </c>
    </row>
    <row r="120" spans="1:16" x14ac:dyDescent="0.25">
      <c r="A120" s="1">
        <v>46099</v>
      </c>
      <c r="B120" s="1" t="s">
        <v>42</v>
      </c>
      <c r="C120" s="2">
        <v>0.40208333333333335</v>
      </c>
      <c r="D120" s="2" t="str">
        <f t="shared" si="3"/>
        <v>09h</v>
      </c>
      <c r="E120" t="s">
        <v>26</v>
      </c>
      <c r="F120" t="str">
        <f>VLOOKUP(E120,dimensao_bairro!A:B,2,FALSE)</f>
        <v>Portão</v>
      </c>
      <c r="G120" t="s">
        <v>29</v>
      </c>
      <c r="H120" s="5">
        <v>6.9</v>
      </c>
      <c r="I120" s="5">
        <v>3</v>
      </c>
      <c r="J120" t="str">
        <f t="shared" si="4"/>
        <v>Média</v>
      </c>
      <c r="M120" t="str">
        <f>VLOOKUP(E120,dimensao_bairro!A:B,2,FALSE)</f>
        <v>Portão</v>
      </c>
      <c r="O120" t="str">
        <f>INDEX(dimensao_bairro!B:B,MATCH(tabela_origem!E120,dimensao_bairro!A:A,0))</f>
        <v>Portão</v>
      </c>
      <c r="P120" t="str">
        <f t="shared" si="5"/>
        <v>BAIXO</v>
      </c>
    </row>
    <row r="121" spans="1:16" x14ac:dyDescent="0.25">
      <c r="A121" s="1">
        <v>46099</v>
      </c>
      <c r="B121" s="1" t="s">
        <v>42</v>
      </c>
      <c r="C121" s="2">
        <v>0.3576388888888889</v>
      </c>
      <c r="D121" s="2" t="str">
        <f t="shared" si="3"/>
        <v>08h</v>
      </c>
      <c r="E121" t="s">
        <v>26</v>
      </c>
      <c r="F121" t="str">
        <f>VLOOKUP(E121,dimensao_bairro!A:B,2,FALSE)</f>
        <v>Portão</v>
      </c>
      <c r="G121" t="s">
        <v>26</v>
      </c>
      <c r="H121" s="5">
        <v>6.6</v>
      </c>
      <c r="I121" s="5">
        <v>2.6</v>
      </c>
      <c r="J121" t="str">
        <f t="shared" si="4"/>
        <v>Média</v>
      </c>
      <c r="M121" t="str">
        <f>VLOOKUP(E121,dimensao_bairro!A:B,2,FALSE)</f>
        <v>Portão</v>
      </c>
      <c r="O121" t="str">
        <f>INDEX(dimensao_bairro!B:B,MATCH(tabela_origem!E121,dimensao_bairro!A:A,0))</f>
        <v>Portão</v>
      </c>
      <c r="P121" t="str">
        <f t="shared" si="5"/>
        <v>BAIXO</v>
      </c>
    </row>
    <row r="122" spans="1:16" x14ac:dyDescent="0.25">
      <c r="A122" s="1">
        <v>46099</v>
      </c>
      <c r="B122" s="1" t="s">
        <v>42</v>
      </c>
      <c r="C122" s="2">
        <v>0.3888888888888889</v>
      </c>
      <c r="D122" s="2" t="str">
        <f t="shared" si="3"/>
        <v>09h</v>
      </c>
      <c r="E122" t="s">
        <v>20</v>
      </c>
      <c r="F122" t="str">
        <f>VLOOKUP(E122,dimensao_bairro!A:B,2,FALSE)</f>
        <v>Matriz</v>
      </c>
      <c r="G122" t="s">
        <v>9</v>
      </c>
      <c r="H122" s="5">
        <v>6.6</v>
      </c>
      <c r="I122" s="5">
        <v>1.7</v>
      </c>
      <c r="J122" t="str">
        <f t="shared" si="4"/>
        <v>Curta</v>
      </c>
      <c r="M122" t="str">
        <f>VLOOKUP(E122,dimensao_bairro!A:B,2,FALSE)</f>
        <v>Matriz</v>
      </c>
      <c r="O122" t="str">
        <f>INDEX(dimensao_bairro!B:B,MATCH(tabela_origem!E122,dimensao_bairro!A:A,0))</f>
        <v>Matriz</v>
      </c>
      <c r="P122" t="str">
        <f t="shared" si="5"/>
        <v>BAIXO</v>
      </c>
    </row>
    <row r="123" spans="1:16" x14ac:dyDescent="0.25">
      <c r="A123" s="1">
        <v>46099</v>
      </c>
      <c r="B123" s="1" t="s">
        <v>42</v>
      </c>
      <c r="C123" s="2">
        <v>0.34583333333333338</v>
      </c>
      <c r="D123" s="2" t="str">
        <f t="shared" si="3"/>
        <v>08h</v>
      </c>
      <c r="E123" t="s">
        <v>9</v>
      </c>
      <c r="F123" t="str">
        <f>VLOOKUP(E123,dimensao_bairro!A:B,2,FALSE)</f>
        <v>Portão</v>
      </c>
      <c r="G123" t="s">
        <v>26</v>
      </c>
      <c r="H123" s="5">
        <v>6.5</v>
      </c>
      <c r="I123" s="5">
        <v>1.5</v>
      </c>
      <c r="J123" t="str">
        <f t="shared" si="4"/>
        <v>Curta</v>
      </c>
      <c r="M123" t="str">
        <f>VLOOKUP(E123,dimensao_bairro!A:B,2,FALSE)</f>
        <v>Portão</v>
      </c>
      <c r="O123" t="str">
        <f>INDEX(dimensao_bairro!B:B,MATCH(tabela_origem!E123,dimensao_bairro!A:A,0))</f>
        <v>Portão</v>
      </c>
      <c r="P123" t="str">
        <f t="shared" si="5"/>
        <v>BAIXO</v>
      </c>
    </row>
    <row r="124" spans="1:16" x14ac:dyDescent="0.25">
      <c r="A124" s="1">
        <v>46099</v>
      </c>
      <c r="B124" s="1" t="s">
        <v>42</v>
      </c>
      <c r="C124" s="2">
        <v>0.39374999999999999</v>
      </c>
      <c r="D124" s="2" t="str">
        <f t="shared" si="3"/>
        <v>09h</v>
      </c>
      <c r="E124" t="s">
        <v>26</v>
      </c>
      <c r="F124" t="str">
        <f>VLOOKUP(E124,dimensao_bairro!A:B,2,FALSE)</f>
        <v>Portão</v>
      </c>
      <c r="G124" t="s">
        <v>11</v>
      </c>
      <c r="H124" s="5">
        <v>6.5</v>
      </c>
      <c r="I124" s="5">
        <v>1.6</v>
      </c>
      <c r="J124" t="str">
        <f t="shared" si="4"/>
        <v>Curta</v>
      </c>
      <c r="M124" t="str">
        <f>VLOOKUP(E124,dimensao_bairro!A:B,2,FALSE)</f>
        <v>Portão</v>
      </c>
      <c r="O124" t="str">
        <f>INDEX(dimensao_bairro!B:B,MATCH(tabela_origem!E124,dimensao_bairro!A:A,0))</f>
        <v>Portão</v>
      </c>
      <c r="P124" t="str">
        <f t="shared" si="5"/>
        <v>BAIXO</v>
      </c>
    </row>
    <row r="125" spans="1:16" x14ac:dyDescent="0.25">
      <c r="A125" s="1">
        <v>46100</v>
      </c>
      <c r="B125" s="1" t="s">
        <v>42</v>
      </c>
      <c r="C125" s="2">
        <v>0.39305555555555555</v>
      </c>
      <c r="D125" s="2" t="str">
        <f t="shared" si="3"/>
        <v>09h</v>
      </c>
      <c r="E125" t="s">
        <v>23</v>
      </c>
      <c r="F125" t="str">
        <f>VLOOKUP(E125,dimensao_bairro!A:B,2,FALSE)</f>
        <v>Boqueirão</v>
      </c>
      <c r="G125" t="s">
        <v>15</v>
      </c>
      <c r="H125" s="5">
        <v>12.5</v>
      </c>
      <c r="I125" s="5">
        <v>5</v>
      </c>
      <c r="J125" t="str">
        <f t="shared" si="4"/>
        <v>Longa</v>
      </c>
      <c r="M125" t="str">
        <f>VLOOKUP(E125,dimensao_bairro!A:B,2,FALSE)</f>
        <v>Boqueirão</v>
      </c>
      <c r="O125" t="str">
        <f>INDEX(dimensao_bairro!B:B,MATCH(tabela_origem!E125,dimensao_bairro!A:A,0))</f>
        <v>Boqueirão</v>
      </c>
      <c r="P125" t="str">
        <f t="shared" si="5"/>
        <v>ALTO</v>
      </c>
    </row>
    <row r="126" spans="1:16" x14ac:dyDescent="0.25">
      <c r="A126" s="1">
        <v>46100</v>
      </c>
      <c r="B126" s="1" t="s">
        <v>42</v>
      </c>
      <c r="C126" s="2">
        <v>0.36458333333333331</v>
      </c>
      <c r="D126" s="2" t="str">
        <f t="shared" si="3"/>
        <v>08h</v>
      </c>
      <c r="E126" t="s">
        <v>24</v>
      </c>
      <c r="F126" t="str">
        <f>VLOOKUP(E126,dimensao_bairro!A:B,2,FALSE)</f>
        <v>Pinheirinho</v>
      </c>
      <c r="G126" t="s">
        <v>23</v>
      </c>
      <c r="H126" s="5">
        <v>8.6999999999999993</v>
      </c>
      <c r="I126" s="5">
        <v>3.8</v>
      </c>
      <c r="J126" t="str">
        <f t="shared" si="4"/>
        <v>Média</v>
      </c>
      <c r="M126" t="str">
        <f>VLOOKUP(E126,dimensao_bairro!A:B,2,FALSE)</f>
        <v>Pinheirinho</v>
      </c>
      <c r="O126" t="str">
        <f>INDEX(dimensao_bairro!B:B,MATCH(tabela_origem!E126,dimensao_bairro!A:A,0))</f>
        <v>Pinheirinho</v>
      </c>
      <c r="P126" t="str">
        <f t="shared" si="5"/>
        <v>MÉDIO</v>
      </c>
    </row>
    <row r="127" spans="1:16" x14ac:dyDescent="0.25">
      <c r="A127" s="1">
        <v>46100</v>
      </c>
      <c r="B127" s="1" t="s">
        <v>42</v>
      </c>
      <c r="C127" s="2">
        <v>0.32013888888888892</v>
      </c>
      <c r="D127" s="2" t="str">
        <f t="shared" si="3"/>
        <v>07h</v>
      </c>
      <c r="E127" t="s">
        <v>23</v>
      </c>
      <c r="F127" t="str">
        <f>VLOOKUP(E127,dimensao_bairro!A:B,2,FALSE)</f>
        <v>Boqueirão</v>
      </c>
      <c r="G127" t="s">
        <v>23</v>
      </c>
      <c r="H127" s="5">
        <v>8.6999999999999993</v>
      </c>
      <c r="I127" s="5">
        <v>1.1000000000000001</v>
      </c>
      <c r="J127" t="str">
        <f t="shared" si="4"/>
        <v>Curta</v>
      </c>
      <c r="M127" t="str">
        <f>VLOOKUP(E127,dimensao_bairro!A:B,2,FALSE)</f>
        <v>Boqueirão</v>
      </c>
      <c r="O127" t="str">
        <f>INDEX(dimensao_bairro!B:B,MATCH(tabela_origem!E127,dimensao_bairro!A:A,0))</f>
        <v>Boqueirão</v>
      </c>
      <c r="P127" t="str">
        <f t="shared" si="5"/>
        <v>MÉDIO</v>
      </c>
    </row>
    <row r="128" spans="1:16" x14ac:dyDescent="0.25">
      <c r="A128" s="1">
        <v>46100</v>
      </c>
      <c r="B128" s="1" t="s">
        <v>42</v>
      </c>
      <c r="C128" s="2">
        <v>0.31388888888888888</v>
      </c>
      <c r="D128" s="2" t="str">
        <f t="shared" si="3"/>
        <v>07h</v>
      </c>
      <c r="E128" t="s">
        <v>27</v>
      </c>
      <c r="F128" t="str">
        <f>VLOOKUP(E128,dimensao_bairro!A:B,2,FALSE)</f>
        <v>Pinheirinho</v>
      </c>
      <c r="G128" t="s">
        <v>23</v>
      </c>
      <c r="H128" s="5">
        <v>8.5</v>
      </c>
      <c r="I128" s="5">
        <v>2.2999999999999998</v>
      </c>
      <c r="J128" t="str">
        <f t="shared" si="4"/>
        <v>Média</v>
      </c>
      <c r="M128" t="str">
        <f>VLOOKUP(E128,dimensao_bairro!A:B,2,FALSE)</f>
        <v>Pinheirinho</v>
      </c>
      <c r="O128" t="str">
        <f>INDEX(dimensao_bairro!B:B,MATCH(tabela_origem!E128,dimensao_bairro!A:A,0))</f>
        <v>Pinheirinho</v>
      </c>
      <c r="P128" t="str">
        <f t="shared" si="5"/>
        <v>MÉDIO</v>
      </c>
    </row>
    <row r="129" spans="1:16" x14ac:dyDescent="0.25">
      <c r="A129" s="1">
        <v>46100</v>
      </c>
      <c r="B129" s="1" t="s">
        <v>42</v>
      </c>
      <c r="C129" s="2">
        <v>0.32361111111111113</v>
      </c>
      <c r="D129" s="2" t="str">
        <f t="shared" si="3"/>
        <v>07h</v>
      </c>
      <c r="E129" t="s">
        <v>23</v>
      </c>
      <c r="F129" t="str">
        <f>VLOOKUP(E129,dimensao_bairro!A:B,2,FALSE)</f>
        <v>Boqueirão</v>
      </c>
      <c r="G129" t="s">
        <v>23</v>
      </c>
      <c r="H129" s="5">
        <v>8.3000000000000007</v>
      </c>
      <c r="I129" s="5">
        <v>1.7</v>
      </c>
      <c r="J129" t="str">
        <f t="shared" si="4"/>
        <v>Curta</v>
      </c>
      <c r="M129" t="str">
        <f>VLOOKUP(E129,dimensao_bairro!A:B,2,FALSE)</f>
        <v>Boqueirão</v>
      </c>
      <c r="O129" t="str">
        <f>INDEX(dimensao_bairro!B:B,MATCH(tabela_origem!E129,dimensao_bairro!A:A,0))</f>
        <v>Boqueirão</v>
      </c>
      <c r="P129" t="str">
        <f t="shared" si="5"/>
        <v>MÉDIO</v>
      </c>
    </row>
    <row r="130" spans="1:16" x14ac:dyDescent="0.25">
      <c r="A130" s="1">
        <v>46100</v>
      </c>
      <c r="B130" s="1" t="s">
        <v>42</v>
      </c>
      <c r="C130" s="2">
        <v>0.33888888888888885</v>
      </c>
      <c r="D130" s="2" t="str">
        <f t="shared" si="3"/>
        <v>08h</v>
      </c>
      <c r="E130" t="s">
        <v>24</v>
      </c>
      <c r="F130" t="str">
        <f>VLOOKUP(E130,dimensao_bairro!A:B,2,FALSE)</f>
        <v>Pinheirinho</v>
      </c>
      <c r="G130" t="s">
        <v>16</v>
      </c>
      <c r="H130" s="5">
        <v>8.1999999999999993</v>
      </c>
      <c r="I130" s="5">
        <v>0.8</v>
      </c>
      <c r="J130" t="str">
        <f t="shared" si="4"/>
        <v>Curta</v>
      </c>
      <c r="M130" t="str">
        <f>VLOOKUP(E130,dimensao_bairro!A:B,2,FALSE)</f>
        <v>Pinheirinho</v>
      </c>
      <c r="O130" t="str">
        <f>INDEX(dimensao_bairro!B:B,MATCH(tabela_origem!E130,dimensao_bairro!A:A,0))</f>
        <v>Pinheirinho</v>
      </c>
      <c r="P130" t="str">
        <f t="shared" si="5"/>
        <v>MÉDIO</v>
      </c>
    </row>
    <row r="131" spans="1:16" x14ac:dyDescent="0.25">
      <c r="A131" s="1">
        <v>46100</v>
      </c>
      <c r="B131" s="1" t="s">
        <v>42</v>
      </c>
      <c r="C131" s="2">
        <v>0.34375</v>
      </c>
      <c r="D131" s="2" t="str">
        <f t="shared" ref="D131:D194" si="6">TEXT(C131,"hh")&amp;"h"</f>
        <v>08h</v>
      </c>
      <c r="E131" t="s">
        <v>24</v>
      </c>
      <c r="F131" t="str">
        <f>VLOOKUP(E131,dimensao_bairro!A:B,2,FALSE)</f>
        <v>Pinheirinho</v>
      </c>
      <c r="G131" t="s">
        <v>11</v>
      </c>
      <c r="H131" s="5">
        <v>7.59</v>
      </c>
      <c r="I131" s="5">
        <v>1.9</v>
      </c>
      <c r="J131" t="str">
        <f t="shared" ref="J131:J194" si="7">IF(I131&lt;=2,"Curta",IF(I131&lt;=4,"Média","Longa"))</f>
        <v>Curta</v>
      </c>
      <c r="M131" t="str">
        <f>VLOOKUP(E131,dimensao_bairro!A:B,2,FALSE)</f>
        <v>Pinheirinho</v>
      </c>
      <c r="O131" t="str">
        <f>INDEX(dimensao_bairro!B:B,MATCH(tabela_origem!E131,dimensao_bairro!A:A,0))</f>
        <v>Pinheirinho</v>
      </c>
      <c r="P131" t="str">
        <f t="shared" ref="P131:P194" si="8">IF(H131&lt;7,"BAIXO",IF(H131&lt;=10,"MÉDIO","ALTO"))</f>
        <v>MÉDIO</v>
      </c>
    </row>
    <row r="132" spans="1:16" x14ac:dyDescent="0.25">
      <c r="A132" s="1">
        <v>46100</v>
      </c>
      <c r="B132" s="1" t="s">
        <v>42</v>
      </c>
      <c r="C132" s="2">
        <v>0.37152777777777773</v>
      </c>
      <c r="D132" s="2" t="str">
        <f t="shared" si="6"/>
        <v>08h</v>
      </c>
      <c r="E132" t="s">
        <v>17</v>
      </c>
      <c r="F132" t="str">
        <f>VLOOKUP(E132,dimensao_bairro!A:B,2,FALSE)</f>
        <v>Boqueirão</v>
      </c>
      <c r="G132" t="s">
        <v>23</v>
      </c>
      <c r="H132" s="5">
        <v>7.3</v>
      </c>
      <c r="I132" s="5">
        <v>3.3</v>
      </c>
      <c r="J132" t="str">
        <f t="shared" si="7"/>
        <v>Média</v>
      </c>
      <c r="M132" t="str">
        <f>VLOOKUP(E132,dimensao_bairro!A:B,2,FALSE)</f>
        <v>Boqueirão</v>
      </c>
      <c r="O132" t="str">
        <f>INDEX(dimensao_bairro!B:B,MATCH(tabela_origem!E132,dimensao_bairro!A:A,0))</f>
        <v>Boqueirão</v>
      </c>
      <c r="P132" t="str">
        <f t="shared" si="8"/>
        <v>MÉDIO</v>
      </c>
    </row>
    <row r="133" spans="1:16" x14ac:dyDescent="0.25">
      <c r="A133" s="1">
        <v>46100</v>
      </c>
      <c r="B133" s="1" t="s">
        <v>42</v>
      </c>
      <c r="C133" s="2">
        <v>0.35486111111111113</v>
      </c>
      <c r="D133" s="2" t="str">
        <f t="shared" si="6"/>
        <v>08h</v>
      </c>
      <c r="E133" t="s">
        <v>23</v>
      </c>
      <c r="F133" t="str">
        <f>VLOOKUP(E133,dimensao_bairro!A:B,2,FALSE)</f>
        <v>Boqueirão</v>
      </c>
      <c r="G133" t="s">
        <v>23</v>
      </c>
      <c r="H133" s="5">
        <v>6.9</v>
      </c>
      <c r="I133" s="5">
        <v>2.8</v>
      </c>
      <c r="J133" t="str">
        <f t="shared" si="7"/>
        <v>Média</v>
      </c>
      <c r="M133" t="str">
        <f>VLOOKUP(E133,dimensao_bairro!A:B,2,FALSE)</f>
        <v>Boqueirão</v>
      </c>
      <c r="O133" t="str">
        <f>INDEX(dimensao_bairro!B:B,MATCH(tabela_origem!E133,dimensao_bairro!A:A,0))</f>
        <v>Boqueirão</v>
      </c>
      <c r="P133" t="str">
        <f t="shared" si="8"/>
        <v>BAIXO</v>
      </c>
    </row>
    <row r="134" spans="1:16" x14ac:dyDescent="0.25">
      <c r="A134" s="1">
        <v>46100</v>
      </c>
      <c r="B134" s="1" t="s">
        <v>42</v>
      </c>
      <c r="C134" s="2">
        <v>0.3527777777777778</v>
      </c>
      <c r="D134" s="2" t="str">
        <f t="shared" si="6"/>
        <v>08h</v>
      </c>
      <c r="E134" t="s">
        <v>16</v>
      </c>
      <c r="F134" t="str">
        <f>VLOOKUP(E134,dimensao_bairro!A:B,2,FALSE)</f>
        <v>Bairro Novo</v>
      </c>
      <c r="G134" t="s">
        <v>23</v>
      </c>
      <c r="H134" s="5">
        <v>6.6</v>
      </c>
      <c r="I134" s="5">
        <v>1.8</v>
      </c>
      <c r="J134" t="str">
        <f t="shared" si="7"/>
        <v>Curta</v>
      </c>
      <c r="M134" t="str">
        <f>VLOOKUP(E134,dimensao_bairro!A:B,2,FALSE)</f>
        <v>Bairro Novo</v>
      </c>
      <c r="O134" t="str">
        <f>INDEX(dimensao_bairro!B:B,MATCH(tabela_origem!E134,dimensao_bairro!A:A,0))</f>
        <v>Bairro Novo</v>
      </c>
      <c r="P134" t="str">
        <f t="shared" si="8"/>
        <v>BAIXO</v>
      </c>
    </row>
    <row r="135" spans="1:16" x14ac:dyDescent="0.25">
      <c r="A135" s="1">
        <v>46100</v>
      </c>
      <c r="B135" s="1" t="s">
        <v>42</v>
      </c>
      <c r="C135" s="2">
        <v>0.3833333333333333</v>
      </c>
      <c r="D135" s="2" t="str">
        <f t="shared" si="6"/>
        <v>09h</v>
      </c>
      <c r="E135" t="s">
        <v>15</v>
      </c>
      <c r="F135" t="str">
        <f>VLOOKUP(E135,dimensao_bairro!A:B,2,FALSE)</f>
        <v>Boqueirão</v>
      </c>
      <c r="G135" t="s">
        <v>11</v>
      </c>
      <c r="H135" s="5">
        <v>6.5</v>
      </c>
      <c r="I135" s="5">
        <v>3.2</v>
      </c>
      <c r="J135" t="str">
        <f t="shared" si="7"/>
        <v>Média</v>
      </c>
      <c r="M135" t="str">
        <f>VLOOKUP(E135,dimensao_bairro!A:B,2,FALSE)</f>
        <v>Boqueirão</v>
      </c>
      <c r="O135" t="str">
        <f>INDEX(dimensao_bairro!B:B,MATCH(tabela_origem!E135,dimensao_bairro!A:A,0))</f>
        <v>Boqueirão</v>
      </c>
      <c r="P135" t="str">
        <f t="shared" si="8"/>
        <v>BAIXO</v>
      </c>
    </row>
    <row r="136" spans="1:16" x14ac:dyDescent="0.25">
      <c r="A136" s="1">
        <v>46100</v>
      </c>
      <c r="B136" s="1" t="s">
        <v>42</v>
      </c>
      <c r="C136" s="2">
        <v>0.40625</v>
      </c>
      <c r="D136" s="2" t="str">
        <f t="shared" si="6"/>
        <v>09h</v>
      </c>
      <c r="E136" t="s">
        <v>15</v>
      </c>
      <c r="F136" t="str">
        <f>VLOOKUP(E136,dimensao_bairro!A:B,2,FALSE)</f>
        <v>Boqueirão</v>
      </c>
      <c r="G136" t="s">
        <v>23</v>
      </c>
      <c r="H136" s="5">
        <v>6.5</v>
      </c>
      <c r="I136" s="5">
        <v>2.8</v>
      </c>
      <c r="J136" t="str">
        <f t="shared" si="7"/>
        <v>Média</v>
      </c>
      <c r="M136" t="str">
        <f>VLOOKUP(E136,dimensao_bairro!A:B,2,FALSE)</f>
        <v>Boqueirão</v>
      </c>
      <c r="O136" t="str">
        <f>INDEX(dimensao_bairro!B:B,MATCH(tabela_origem!E136,dimensao_bairro!A:A,0))</f>
        <v>Boqueirão</v>
      </c>
      <c r="P136" t="str">
        <f t="shared" si="8"/>
        <v>BAIXO</v>
      </c>
    </row>
    <row r="137" spans="1:16" x14ac:dyDescent="0.25">
      <c r="A137" s="1">
        <v>46100</v>
      </c>
      <c r="B137" s="1" t="s">
        <v>42</v>
      </c>
      <c r="C137" s="2">
        <v>0.40138888888888885</v>
      </c>
      <c r="D137" s="2" t="str">
        <f t="shared" si="6"/>
        <v>09h</v>
      </c>
      <c r="E137" t="s">
        <v>11</v>
      </c>
      <c r="F137" t="str">
        <f>VLOOKUP(E137,dimensao_bairro!A:B,2,FALSE)</f>
        <v>Boqueirão</v>
      </c>
      <c r="G137" t="s">
        <v>11</v>
      </c>
      <c r="H137" s="5">
        <v>6.5</v>
      </c>
      <c r="I137" s="5">
        <v>2.7</v>
      </c>
      <c r="J137" t="str">
        <f t="shared" si="7"/>
        <v>Média</v>
      </c>
      <c r="M137" t="str">
        <f>VLOOKUP(E137,dimensao_bairro!A:B,2,FALSE)</f>
        <v>Boqueirão</v>
      </c>
      <c r="O137" t="str">
        <f>INDEX(dimensao_bairro!B:B,MATCH(tabela_origem!E137,dimensao_bairro!A:A,0))</f>
        <v>Boqueirão</v>
      </c>
      <c r="P137" t="str">
        <f t="shared" si="8"/>
        <v>BAIXO</v>
      </c>
    </row>
    <row r="138" spans="1:16" x14ac:dyDescent="0.25">
      <c r="A138" s="1">
        <v>46100</v>
      </c>
      <c r="B138" s="1" t="s">
        <v>42</v>
      </c>
      <c r="C138" s="2">
        <v>0.41666666666666669</v>
      </c>
      <c r="D138" s="2" t="str">
        <f t="shared" si="6"/>
        <v>10h</v>
      </c>
      <c r="E138" t="s">
        <v>36</v>
      </c>
      <c r="F138" t="str">
        <f>VLOOKUP(E138,dimensao_bairro!A:B,2,FALSE)</f>
        <v>Portão</v>
      </c>
      <c r="G138" t="s">
        <v>8</v>
      </c>
      <c r="H138" s="5">
        <v>6.5</v>
      </c>
      <c r="I138" s="5">
        <v>1.5</v>
      </c>
      <c r="J138" t="str">
        <f t="shared" si="7"/>
        <v>Curta</v>
      </c>
      <c r="M138" t="str">
        <f>VLOOKUP(E138,dimensao_bairro!A:B,2,FALSE)</f>
        <v>Portão</v>
      </c>
      <c r="O138" t="str">
        <f>INDEX(dimensao_bairro!B:B,MATCH(tabela_origem!E138,dimensao_bairro!A:A,0))</f>
        <v>Portão</v>
      </c>
      <c r="P138" t="str">
        <f t="shared" si="8"/>
        <v>BAIXO</v>
      </c>
    </row>
    <row r="139" spans="1:16" x14ac:dyDescent="0.25">
      <c r="A139" s="1">
        <v>46101</v>
      </c>
      <c r="B139" s="1" t="s">
        <v>42</v>
      </c>
      <c r="C139" s="2">
        <v>0.31944444444444448</v>
      </c>
      <c r="D139" s="2" t="str">
        <f t="shared" si="6"/>
        <v>07h</v>
      </c>
      <c r="E139" t="s">
        <v>8</v>
      </c>
      <c r="F139" t="str">
        <f>VLOOKUP(E139,dimensao_bairro!A:B,2,FALSE)</f>
        <v>Portão</v>
      </c>
      <c r="G139" t="s">
        <v>6</v>
      </c>
      <c r="H139" s="5">
        <v>16.7</v>
      </c>
      <c r="I139" s="5">
        <v>4.4000000000000004</v>
      </c>
      <c r="J139" t="str">
        <f t="shared" si="7"/>
        <v>Longa</v>
      </c>
      <c r="M139" t="str">
        <f>VLOOKUP(E139,dimensao_bairro!A:B,2,FALSE)</f>
        <v>Portão</v>
      </c>
      <c r="O139" t="str">
        <f>INDEX(dimensao_bairro!B:B,MATCH(tabela_origem!E139,dimensao_bairro!A:A,0))</f>
        <v>Portão</v>
      </c>
      <c r="P139" t="str">
        <f t="shared" si="8"/>
        <v>ALTO</v>
      </c>
    </row>
    <row r="140" spans="1:16" x14ac:dyDescent="0.25">
      <c r="A140" s="1">
        <v>46101</v>
      </c>
      <c r="B140" s="1" t="s">
        <v>42</v>
      </c>
      <c r="C140" s="2">
        <v>0.3298611111111111</v>
      </c>
      <c r="D140" s="2" t="str">
        <f t="shared" si="6"/>
        <v>07h</v>
      </c>
      <c r="E140" t="s">
        <v>26</v>
      </c>
      <c r="F140" t="str">
        <f>VLOOKUP(E140,dimensao_bairro!A:B,2,FALSE)</f>
        <v>Portão</v>
      </c>
      <c r="G140" t="s">
        <v>9</v>
      </c>
      <c r="H140" s="5">
        <v>9.9</v>
      </c>
      <c r="I140" s="5">
        <v>2.8</v>
      </c>
      <c r="J140" t="str">
        <f t="shared" si="7"/>
        <v>Média</v>
      </c>
      <c r="M140" t="str">
        <f>VLOOKUP(E140,dimensao_bairro!A:B,2,FALSE)</f>
        <v>Portão</v>
      </c>
      <c r="O140" t="str">
        <f>INDEX(dimensao_bairro!B:B,MATCH(tabela_origem!E140,dimensao_bairro!A:A,0))</f>
        <v>Portão</v>
      </c>
      <c r="P140" t="str">
        <f t="shared" si="8"/>
        <v>MÉDIO</v>
      </c>
    </row>
    <row r="141" spans="1:16" x14ac:dyDescent="0.25">
      <c r="A141" s="1">
        <v>46101</v>
      </c>
      <c r="B141" s="1" t="s">
        <v>42</v>
      </c>
      <c r="C141" s="2">
        <v>0.35416666666666669</v>
      </c>
      <c r="D141" s="2" t="str">
        <f t="shared" si="6"/>
        <v>08h</v>
      </c>
      <c r="E141" t="s">
        <v>5</v>
      </c>
      <c r="F141" t="str">
        <f>VLOOKUP(E141,dimensao_bairro!A:B,2,FALSE)</f>
        <v>Portão</v>
      </c>
      <c r="G141" t="s">
        <v>10</v>
      </c>
      <c r="H141" s="5">
        <v>7.6</v>
      </c>
      <c r="I141" s="5">
        <v>3.6</v>
      </c>
      <c r="J141" t="str">
        <f t="shared" si="7"/>
        <v>Média</v>
      </c>
      <c r="M141" t="str">
        <f>VLOOKUP(E141,dimensao_bairro!A:B,2,FALSE)</f>
        <v>Portão</v>
      </c>
      <c r="O141" t="str">
        <f>INDEX(dimensao_bairro!B:B,MATCH(tabela_origem!E141,dimensao_bairro!A:A,0))</f>
        <v>Portão</v>
      </c>
      <c r="P141" t="str">
        <f t="shared" si="8"/>
        <v>MÉDIO</v>
      </c>
    </row>
    <row r="142" spans="1:16" x14ac:dyDescent="0.25">
      <c r="A142" s="1">
        <v>46101</v>
      </c>
      <c r="B142" s="1" t="s">
        <v>42</v>
      </c>
      <c r="C142" s="2">
        <v>0.37361111111111112</v>
      </c>
      <c r="D142" s="2" t="str">
        <f t="shared" si="6"/>
        <v>08h</v>
      </c>
      <c r="E142" t="s">
        <v>9</v>
      </c>
      <c r="F142" t="str">
        <f>VLOOKUP(E142,dimensao_bairro!A:B,2,FALSE)</f>
        <v>Portão</v>
      </c>
      <c r="G142" t="s">
        <v>9</v>
      </c>
      <c r="H142" s="5">
        <v>7.3</v>
      </c>
      <c r="I142" s="5">
        <v>2.1</v>
      </c>
      <c r="J142" t="str">
        <f t="shared" si="7"/>
        <v>Média</v>
      </c>
      <c r="M142" t="str">
        <f>VLOOKUP(E142,dimensao_bairro!A:B,2,FALSE)</f>
        <v>Portão</v>
      </c>
      <c r="O142" t="str">
        <f>INDEX(dimensao_bairro!B:B,MATCH(tabela_origem!E142,dimensao_bairro!A:A,0))</f>
        <v>Portão</v>
      </c>
      <c r="P142" t="str">
        <f t="shared" si="8"/>
        <v>MÉDIO</v>
      </c>
    </row>
    <row r="143" spans="1:16" x14ac:dyDescent="0.25">
      <c r="A143" s="1">
        <v>46101</v>
      </c>
      <c r="B143" s="1" t="s">
        <v>42</v>
      </c>
      <c r="C143" s="2">
        <v>0.40347222222222223</v>
      </c>
      <c r="D143" s="2" t="str">
        <f t="shared" si="6"/>
        <v>09h</v>
      </c>
      <c r="E143" t="s">
        <v>9</v>
      </c>
      <c r="F143" t="str">
        <f>VLOOKUP(E143,dimensao_bairro!A:B,2,FALSE)</f>
        <v>Portão</v>
      </c>
      <c r="G143" t="s">
        <v>9</v>
      </c>
      <c r="H143" s="5">
        <v>6.8</v>
      </c>
      <c r="I143" s="5">
        <v>3</v>
      </c>
      <c r="J143" t="str">
        <f t="shared" si="7"/>
        <v>Média</v>
      </c>
      <c r="M143" t="str">
        <f>VLOOKUP(E143,dimensao_bairro!A:B,2,FALSE)</f>
        <v>Portão</v>
      </c>
      <c r="O143" t="str">
        <f>INDEX(dimensao_bairro!B:B,MATCH(tabela_origem!E143,dimensao_bairro!A:A,0))</f>
        <v>Portão</v>
      </c>
      <c r="P143" t="str">
        <f t="shared" si="8"/>
        <v>BAIXO</v>
      </c>
    </row>
    <row r="144" spans="1:16" x14ac:dyDescent="0.25">
      <c r="A144" s="1">
        <v>46101</v>
      </c>
      <c r="B144" s="1" t="s">
        <v>42</v>
      </c>
      <c r="C144" s="2">
        <v>0.39166666666666666</v>
      </c>
      <c r="D144" s="2" t="str">
        <f t="shared" si="6"/>
        <v>09h</v>
      </c>
      <c r="E144" t="s">
        <v>9</v>
      </c>
      <c r="F144" t="str">
        <f>VLOOKUP(E144,dimensao_bairro!A:B,2,FALSE)</f>
        <v>Portão</v>
      </c>
      <c r="G144" t="s">
        <v>9</v>
      </c>
      <c r="H144" s="5">
        <v>6.7</v>
      </c>
      <c r="I144" s="5">
        <v>2.4</v>
      </c>
      <c r="J144" t="str">
        <f t="shared" si="7"/>
        <v>Média</v>
      </c>
      <c r="M144" t="str">
        <f>VLOOKUP(E144,dimensao_bairro!A:B,2,FALSE)</f>
        <v>Portão</v>
      </c>
      <c r="O144" t="str">
        <f>INDEX(dimensao_bairro!B:B,MATCH(tabela_origem!E144,dimensao_bairro!A:A,0))</f>
        <v>Portão</v>
      </c>
      <c r="P144" t="str">
        <f t="shared" si="8"/>
        <v>BAIXO</v>
      </c>
    </row>
    <row r="145" spans="1:16" x14ac:dyDescent="0.25">
      <c r="A145" s="1">
        <v>46101</v>
      </c>
      <c r="B145" s="1" t="s">
        <v>42</v>
      </c>
      <c r="C145" s="2">
        <v>0.33680555555555558</v>
      </c>
      <c r="D145" s="2" t="str">
        <f t="shared" si="6"/>
        <v>08h</v>
      </c>
      <c r="E145" t="s">
        <v>6</v>
      </c>
      <c r="F145" t="str">
        <f>VLOOKUP(E145,dimensao_bairro!A:B,2,FALSE)</f>
        <v>Portão</v>
      </c>
      <c r="G145" t="s">
        <v>20</v>
      </c>
      <c r="H145" s="5">
        <v>6.6</v>
      </c>
      <c r="I145" s="5">
        <v>2.4</v>
      </c>
      <c r="J145" t="str">
        <f t="shared" si="7"/>
        <v>Média</v>
      </c>
      <c r="M145" t="str">
        <f>VLOOKUP(E145,dimensao_bairro!A:B,2,FALSE)</f>
        <v>Portão</v>
      </c>
      <c r="O145" t="str">
        <f>INDEX(dimensao_bairro!B:B,MATCH(tabela_origem!E145,dimensao_bairro!A:A,0))</f>
        <v>Portão</v>
      </c>
      <c r="P145" t="str">
        <f t="shared" si="8"/>
        <v>BAIXO</v>
      </c>
    </row>
    <row r="146" spans="1:16" x14ac:dyDescent="0.25">
      <c r="A146" s="1">
        <v>46101</v>
      </c>
      <c r="B146" s="1" t="s">
        <v>42</v>
      </c>
      <c r="C146" s="2">
        <v>0.35972222222222222</v>
      </c>
      <c r="D146" s="2" t="str">
        <f t="shared" si="6"/>
        <v>08h</v>
      </c>
      <c r="E146" t="s">
        <v>9</v>
      </c>
      <c r="F146" t="str">
        <f>VLOOKUP(E146,dimensao_bairro!A:B,2,FALSE)</f>
        <v>Portão</v>
      </c>
      <c r="G146" t="s">
        <v>9</v>
      </c>
      <c r="H146" s="5">
        <v>6.5</v>
      </c>
      <c r="I146" s="5">
        <v>2.2000000000000002</v>
      </c>
      <c r="J146" t="str">
        <f t="shared" si="7"/>
        <v>Média</v>
      </c>
      <c r="M146" t="str">
        <f>VLOOKUP(E146,dimensao_bairro!A:B,2,FALSE)</f>
        <v>Portão</v>
      </c>
      <c r="O146" t="str">
        <f>INDEX(dimensao_bairro!B:B,MATCH(tabela_origem!E146,dimensao_bairro!A:A,0))</f>
        <v>Portão</v>
      </c>
      <c r="P146" t="str">
        <f t="shared" si="8"/>
        <v>BAIXO</v>
      </c>
    </row>
    <row r="147" spans="1:16" x14ac:dyDescent="0.25">
      <c r="A147" s="1">
        <v>46101</v>
      </c>
      <c r="B147" s="1" t="s">
        <v>42</v>
      </c>
      <c r="C147" s="2">
        <v>0.3840277777777778</v>
      </c>
      <c r="D147" s="2" t="str">
        <f t="shared" si="6"/>
        <v>09h</v>
      </c>
      <c r="E147" t="s">
        <v>9</v>
      </c>
      <c r="F147" t="str">
        <f>VLOOKUP(E147,dimensao_bairro!A:B,2,FALSE)</f>
        <v>Portão</v>
      </c>
      <c r="G147" t="s">
        <v>5</v>
      </c>
      <c r="H147" s="5">
        <v>6.5</v>
      </c>
      <c r="I147" s="5">
        <v>2.2000000000000002</v>
      </c>
      <c r="J147" t="str">
        <f t="shared" si="7"/>
        <v>Média</v>
      </c>
      <c r="M147" t="str">
        <f>VLOOKUP(E147,dimensao_bairro!A:B,2,FALSE)</f>
        <v>Portão</v>
      </c>
      <c r="O147" t="str">
        <f>INDEX(dimensao_bairro!B:B,MATCH(tabela_origem!E147,dimensao_bairro!A:A,0))</f>
        <v>Portão</v>
      </c>
      <c r="P147" t="str">
        <f t="shared" si="8"/>
        <v>BAIXO</v>
      </c>
    </row>
    <row r="148" spans="1:16" x14ac:dyDescent="0.25">
      <c r="A148" s="1">
        <v>46101</v>
      </c>
      <c r="B148" s="1" t="s">
        <v>42</v>
      </c>
      <c r="C148" s="2">
        <v>0.40069444444444446</v>
      </c>
      <c r="D148" s="2" t="str">
        <f t="shared" si="6"/>
        <v>09h</v>
      </c>
      <c r="E148" t="s">
        <v>9</v>
      </c>
      <c r="F148" t="str">
        <f>VLOOKUP(E148,dimensao_bairro!A:B,2,FALSE)</f>
        <v>Portão</v>
      </c>
      <c r="G148" t="s">
        <v>5</v>
      </c>
      <c r="H148" s="5">
        <v>6.5</v>
      </c>
      <c r="I148" s="5">
        <v>1.8</v>
      </c>
      <c r="J148" t="str">
        <f t="shared" si="7"/>
        <v>Curta</v>
      </c>
      <c r="M148" t="str">
        <f>VLOOKUP(E148,dimensao_bairro!A:B,2,FALSE)</f>
        <v>Portão</v>
      </c>
      <c r="O148" t="str">
        <f>INDEX(dimensao_bairro!B:B,MATCH(tabela_origem!E148,dimensao_bairro!A:A,0))</f>
        <v>Portão</v>
      </c>
      <c r="P148" t="str">
        <f t="shared" si="8"/>
        <v>BAIXO</v>
      </c>
    </row>
    <row r="149" spans="1:16" x14ac:dyDescent="0.25">
      <c r="A149" s="1">
        <v>46101</v>
      </c>
      <c r="B149" s="1" t="s">
        <v>42</v>
      </c>
      <c r="C149" s="2">
        <v>0.41319444444444442</v>
      </c>
      <c r="D149" s="2" t="str">
        <f t="shared" si="6"/>
        <v>09h</v>
      </c>
      <c r="E149" t="s">
        <v>5</v>
      </c>
      <c r="F149" t="str">
        <f>VLOOKUP(E149,dimensao_bairro!A:B,2,FALSE)</f>
        <v>Portão</v>
      </c>
      <c r="G149" t="s">
        <v>5</v>
      </c>
      <c r="H149" s="5">
        <v>6.5</v>
      </c>
      <c r="I149" s="5">
        <v>1.1000000000000001</v>
      </c>
      <c r="J149" t="str">
        <f t="shared" si="7"/>
        <v>Curta</v>
      </c>
      <c r="M149" t="str">
        <f>VLOOKUP(E149,dimensao_bairro!A:B,2,FALSE)</f>
        <v>Portão</v>
      </c>
      <c r="O149" t="str">
        <f>INDEX(dimensao_bairro!B:B,MATCH(tabela_origem!E149,dimensao_bairro!A:A,0))</f>
        <v>Portão</v>
      </c>
      <c r="P149" t="str">
        <f t="shared" si="8"/>
        <v>BAIXO</v>
      </c>
    </row>
    <row r="150" spans="1:16" x14ac:dyDescent="0.25">
      <c r="A150" s="1">
        <v>46101</v>
      </c>
      <c r="B150" s="1" t="s">
        <v>42</v>
      </c>
      <c r="C150" s="2">
        <v>0.34375</v>
      </c>
      <c r="D150" s="2" t="str">
        <f t="shared" si="6"/>
        <v>08h</v>
      </c>
      <c r="E150" t="s">
        <v>6</v>
      </c>
      <c r="F150" t="str">
        <f>VLOOKUP(E150,dimensao_bairro!A:B,2,FALSE)</f>
        <v>Portão</v>
      </c>
      <c r="G150" t="s">
        <v>9</v>
      </c>
      <c r="H150" s="5">
        <v>6.5</v>
      </c>
      <c r="I150" s="5">
        <v>2.6</v>
      </c>
      <c r="J150" t="str">
        <f t="shared" si="7"/>
        <v>Média</v>
      </c>
      <c r="M150" t="str">
        <f>VLOOKUP(E150,dimensao_bairro!A:B,2,FALSE)</f>
        <v>Portão</v>
      </c>
      <c r="O150" t="str">
        <f>INDEX(dimensao_bairro!B:B,MATCH(tabela_origem!E150,dimensao_bairro!A:A,0))</f>
        <v>Portão</v>
      </c>
      <c r="P150" t="str">
        <f t="shared" si="8"/>
        <v>BAIXO</v>
      </c>
    </row>
    <row r="151" spans="1:16" x14ac:dyDescent="0.25">
      <c r="A151" s="1">
        <v>46101</v>
      </c>
      <c r="B151" s="1" t="s">
        <v>42</v>
      </c>
      <c r="C151" s="2">
        <v>0.37916666666666665</v>
      </c>
      <c r="D151" s="2" t="str">
        <f t="shared" si="6"/>
        <v>09h</v>
      </c>
      <c r="E151" t="s">
        <v>20</v>
      </c>
      <c r="F151" t="str">
        <f>VLOOKUP(E151,dimensao_bairro!A:B,2,FALSE)</f>
        <v>Matriz</v>
      </c>
      <c r="G151" t="s">
        <v>26</v>
      </c>
      <c r="H151" s="5">
        <v>6.5</v>
      </c>
      <c r="I151" s="5">
        <v>1.6</v>
      </c>
      <c r="J151" t="str">
        <f t="shared" si="7"/>
        <v>Curta</v>
      </c>
      <c r="M151" t="str">
        <f>VLOOKUP(E151,dimensao_bairro!A:B,2,FALSE)</f>
        <v>Matriz</v>
      </c>
      <c r="O151" t="str">
        <f>INDEX(dimensao_bairro!B:B,MATCH(tabela_origem!E151,dimensao_bairro!A:A,0))</f>
        <v>Matriz</v>
      </c>
      <c r="P151" t="str">
        <f t="shared" si="8"/>
        <v>BAIXO</v>
      </c>
    </row>
    <row r="152" spans="1:16" x14ac:dyDescent="0.25">
      <c r="A152" s="1">
        <v>46104</v>
      </c>
      <c r="B152" s="1" t="s">
        <v>42</v>
      </c>
      <c r="C152" s="2">
        <v>0.32847222222222222</v>
      </c>
      <c r="D152" s="2" t="str">
        <f t="shared" si="6"/>
        <v>07h</v>
      </c>
      <c r="E152" t="s">
        <v>8</v>
      </c>
      <c r="F152" t="str">
        <f>VLOOKUP(E152,dimensao_bairro!A:B,2,FALSE)</f>
        <v>Portão</v>
      </c>
      <c r="G152" t="s">
        <v>10</v>
      </c>
      <c r="H152" s="5">
        <v>13.1</v>
      </c>
      <c r="I152" s="5">
        <v>2.1</v>
      </c>
      <c r="J152" t="str">
        <f t="shared" si="7"/>
        <v>Média</v>
      </c>
      <c r="M152" t="str">
        <f>VLOOKUP(E152,dimensao_bairro!A:B,2,FALSE)</f>
        <v>Portão</v>
      </c>
      <c r="O152" t="str">
        <f>INDEX(dimensao_bairro!B:B,MATCH(tabela_origem!E152,dimensao_bairro!A:A,0))</f>
        <v>Portão</v>
      </c>
      <c r="P152" t="str">
        <f t="shared" si="8"/>
        <v>ALTO</v>
      </c>
    </row>
    <row r="153" spans="1:16" x14ac:dyDescent="0.25">
      <c r="A153" s="1">
        <v>46104</v>
      </c>
      <c r="B153" s="1" t="s">
        <v>42</v>
      </c>
      <c r="C153" s="2">
        <v>0.31597222222222221</v>
      </c>
      <c r="D153" s="2" t="str">
        <f t="shared" si="6"/>
        <v>07h</v>
      </c>
      <c r="E153" t="s">
        <v>26</v>
      </c>
      <c r="F153" t="str">
        <f>VLOOKUP(E153,dimensao_bairro!A:B,2,FALSE)</f>
        <v>Portão</v>
      </c>
      <c r="G153" t="s">
        <v>26</v>
      </c>
      <c r="H153" s="5">
        <v>12.5</v>
      </c>
      <c r="I153" s="5">
        <v>2.9</v>
      </c>
      <c r="J153" t="str">
        <f t="shared" si="7"/>
        <v>Média</v>
      </c>
      <c r="M153" t="str">
        <f>VLOOKUP(E153,dimensao_bairro!A:B,2,FALSE)</f>
        <v>Portão</v>
      </c>
      <c r="O153" t="str">
        <f>INDEX(dimensao_bairro!B:B,MATCH(tabela_origem!E153,dimensao_bairro!A:A,0))</f>
        <v>Portão</v>
      </c>
      <c r="P153" t="str">
        <f t="shared" si="8"/>
        <v>ALTO</v>
      </c>
    </row>
    <row r="154" spans="1:16" x14ac:dyDescent="0.25">
      <c r="A154" s="1">
        <v>46104</v>
      </c>
      <c r="B154" s="1" t="s">
        <v>42</v>
      </c>
      <c r="C154" s="2">
        <v>0.31944444444444448</v>
      </c>
      <c r="D154" s="2" t="str">
        <f t="shared" si="6"/>
        <v>07h</v>
      </c>
      <c r="E154" t="s">
        <v>10</v>
      </c>
      <c r="F154" t="str">
        <f>VLOOKUP(E154,dimensao_bairro!A:B,2,FALSE)</f>
        <v>Portão</v>
      </c>
      <c r="G154" t="s">
        <v>26</v>
      </c>
      <c r="H154" s="5">
        <v>9.6999999999999993</v>
      </c>
      <c r="I154" s="5">
        <v>2.8</v>
      </c>
      <c r="J154" t="str">
        <f t="shared" si="7"/>
        <v>Média</v>
      </c>
      <c r="M154" t="str">
        <f>VLOOKUP(E154,dimensao_bairro!A:B,2,FALSE)</f>
        <v>Portão</v>
      </c>
      <c r="O154" t="str">
        <f>INDEX(dimensao_bairro!B:B,MATCH(tabela_origem!E154,dimensao_bairro!A:A,0))</f>
        <v>Portão</v>
      </c>
      <c r="P154" t="str">
        <f t="shared" si="8"/>
        <v>MÉDIO</v>
      </c>
    </row>
    <row r="155" spans="1:16" x14ac:dyDescent="0.25">
      <c r="A155" s="1">
        <v>46104</v>
      </c>
      <c r="B155" s="1" t="s">
        <v>42</v>
      </c>
      <c r="C155" s="2">
        <v>0.33749999999999997</v>
      </c>
      <c r="D155" s="2" t="str">
        <f t="shared" si="6"/>
        <v>08h</v>
      </c>
      <c r="E155" t="s">
        <v>27</v>
      </c>
      <c r="F155" t="str">
        <f>VLOOKUP(E155,dimensao_bairro!A:B,2,FALSE)</f>
        <v>Pinheirinho</v>
      </c>
      <c r="G155" t="s">
        <v>9</v>
      </c>
      <c r="H155" s="5">
        <v>7.7</v>
      </c>
      <c r="I155" s="5">
        <v>1.4</v>
      </c>
      <c r="J155" t="str">
        <f t="shared" si="7"/>
        <v>Curta</v>
      </c>
      <c r="M155" t="str">
        <f>VLOOKUP(E155,dimensao_bairro!A:B,2,FALSE)</f>
        <v>Pinheirinho</v>
      </c>
      <c r="O155" t="str">
        <f>INDEX(dimensao_bairro!B:B,MATCH(tabela_origem!E155,dimensao_bairro!A:A,0))</f>
        <v>Pinheirinho</v>
      </c>
      <c r="P155" t="str">
        <f t="shared" si="8"/>
        <v>MÉDIO</v>
      </c>
    </row>
    <row r="156" spans="1:16" x14ac:dyDescent="0.25">
      <c r="A156" s="1">
        <v>46104</v>
      </c>
      <c r="B156" s="1" t="s">
        <v>42</v>
      </c>
      <c r="C156" s="2">
        <v>0.3576388888888889</v>
      </c>
      <c r="D156" s="2" t="str">
        <f t="shared" si="6"/>
        <v>08h</v>
      </c>
      <c r="E156" t="s">
        <v>5</v>
      </c>
      <c r="F156" t="str">
        <f>VLOOKUP(E156,dimensao_bairro!A:B,2,FALSE)</f>
        <v>Portão</v>
      </c>
      <c r="G156" t="s">
        <v>9</v>
      </c>
      <c r="H156" s="5">
        <v>7.6</v>
      </c>
      <c r="I156" s="5">
        <v>2.7</v>
      </c>
      <c r="J156" t="str">
        <f t="shared" si="7"/>
        <v>Média</v>
      </c>
      <c r="M156" t="str">
        <f>VLOOKUP(E156,dimensao_bairro!A:B,2,FALSE)</f>
        <v>Portão</v>
      </c>
      <c r="O156" t="str">
        <f>INDEX(dimensao_bairro!B:B,MATCH(tabela_origem!E156,dimensao_bairro!A:A,0))</f>
        <v>Portão</v>
      </c>
      <c r="P156" t="str">
        <f t="shared" si="8"/>
        <v>MÉDIO</v>
      </c>
    </row>
    <row r="157" spans="1:16" x14ac:dyDescent="0.25">
      <c r="A157" s="1">
        <v>46104</v>
      </c>
      <c r="B157" s="1" t="s">
        <v>42</v>
      </c>
      <c r="C157" s="2">
        <v>0.36527777777777781</v>
      </c>
      <c r="D157" s="2" t="str">
        <f t="shared" si="6"/>
        <v>08h</v>
      </c>
      <c r="E157" t="s">
        <v>13</v>
      </c>
      <c r="F157" t="str">
        <f>VLOOKUP(E157,dimensao_bairro!A:B,2,FALSE)</f>
        <v>Matriz</v>
      </c>
      <c r="G157" t="s">
        <v>9</v>
      </c>
      <c r="H157" s="5">
        <v>7.4</v>
      </c>
      <c r="I157" s="5">
        <v>0.9</v>
      </c>
      <c r="J157" t="str">
        <f t="shared" si="7"/>
        <v>Curta</v>
      </c>
      <c r="M157" t="str">
        <f>VLOOKUP(E157,dimensao_bairro!A:B,2,FALSE)</f>
        <v>Matriz</v>
      </c>
      <c r="O157" t="str">
        <f>INDEX(dimensao_bairro!B:B,MATCH(tabela_origem!E157,dimensao_bairro!A:A,0))</f>
        <v>Matriz</v>
      </c>
      <c r="P157" t="str">
        <f t="shared" si="8"/>
        <v>MÉDIO</v>
      </c>
    </row>
    <row r="158" spans="1:16" x14ac:dyDescent="0.25">
      <c r="A158" s="1">
        <v>46104</v>
      </c>
      <c r="B158" s="1" t="s">
        <v>42</v>
      </c>
      <c r="C158" s="2">
        <v>0.34583333333333338</v>
      </c>
      <c r="D158" s="2" t="str">
        <f t="shared" si="6"/>
        <v>08h</v>
      </c>
      <c r="E158" t="s">
        <v>6</v>
      </c>
      <c r="F158" t="str">
        <f>VLOOKUP(E158,dimensao_bairro!A:B,2,FALSE)</f>
        <v>Portão</v>
      </c>
      <c r="G158" t="s">
        <v>9</v>
      </c>
      <c r="H158" s="5">
        <v>6.9</v>
      </c>
      <c r="I158" s="5">
        <v>2.7</v>
      </c>
      <c r="J158" t="str">
        <f t="shared" si="7"/>
        <v>Média</v>
      </c>
      <c r="M158" t="str">
        <f>VLOOKUP(E158,dimensao_bairro!A:B,2,FALSE)</f>
        <v>Portão</v>
      </c>
      <c r="O158" t="str">
        <f>INDEX(dimensao_bairro!B:B,MATCH(tabela_origem!E158,dimensao_bairro!A:A,0))</f>
        <v>Portão</v>
      </c>
      <c r="P158" t="str">
        <f t="shared" si="8"/>
        <v>BAIXO</v>
      </c>
    </row>
    <row r="159" spans="1:16" x14ac:dyDescent="0.25">
      <c r="A159" s="1">
        <v>46104</v>
      </c>
      <c r="B159" s="1" t="s">
        <v>42</v>
      </c>
      <c r="C159" s="2">
        <v>0.39027777777777778</v>
      </c>
      <c r="D159" s="2" t="str">
        <f t="shared" si="6"/>
        <v>09h</v>
      </c>
      <c r="E159" t="s">
        <v>9</v>
      </c>
      <c r="F159" t="str">
        <f>VLOOKUP(E159,dimensao_bairro!A:B,2,FALSE)</f>
        <v>Portão</v>
      </c>
      <c r="G159" t="s">
        <v>9</v>
      </c>
      <c r="H159" s="5">
        <v>6.7</v>
      </c>
      <c r="I159" s="5">
        <v>1.3</v>
      </c>
      <c r="J159" t="str">
        <f t="shared" si="7"/>
        <v>Curta</v>
      </c>
      <c r="M159" t="str">
        <f>VLOOKUP(E159,dimensao_bairro!A:B,2,FALSE)</f>
        <v>Portão</v>
      </c>
      <c r="O159" t="str">
        <f>INDEX(dimensao_bairro!B:B,MATCH(tabela_origem!E159,dimensao_bairro!A:A,0))</f>
        <v>Portão</v>
      </c>
      <c r="P159" t="str">
        <f t="shared" si="8"/>
        <v>BAIXO</v>
      </c>
    </row>
    <row r="160" spans="1:16" x14ac:dyDescent="0.25">
      <c r="A160" s="1">
        <v>46104</v>
      </c>
      <c r="B160" s="1" t="s">
        <v>42</v>
      </c>
      <c r="C160" s="2">
        <v>0.38055555555555554</v>
      </c>
      <c r="D160" s="2" t="str">
        <f t="shared" si="6"/>
        <v>09h</v>
      </c>
      <c r="E160" t="s">
        <v>5</v>
      </c>
      <c r="F160" t="str">
        <f>VLOOKUP(E160,dimensao_bairro!A:B,2,FALSE)</f>
        <v>Portão</v>
      </c>
      <c r="G160" t="s">
        <v>9</v>
      </c>
      <c r="H160" s="5">
        <v>6.6</v>
      </c>
      <c r="I160" s="5">
        <v>2.7</v>
      </c>
      <c r="J160" t="str">
        <f t="shared" si="7"/>
        <v>Média</v>
      </c>
      <c r="M160" t="str">
        <f>VLOOKUP(E160,dimensao_bairro!A:B,2,FALSE)</f>
        <v>Portão</v>
      </c>
      <c r="O160" t="str">
        <f>INDEX(dimensao_bairro!B:B,MATCH(tabela_origem!E160,dimensao_bairro!A:A,0))</f>
        <v>Portão</v>
      </c>
      <c r="P160" t="str">
        <f t="shared" si="8"/>
        <v>BAIXO</v>
      </c>
    </row>
    <row r="161" spans="1:16" x14ac:dyDescent="0.25">
      <c r="A161" s="1">
        <v>46104</v>
      </c>
      <c r="B161" s="1" t="s">
        <v>42</v>
      </c>
      <c r="C161" s="2">
        <v>0.39513888888888887</v>
      </c>
      <c r="D161" s="2" t="str">
        <f t="shared" si="6"/>
        <v>09h</v>
      </c>
      <c r="E161" t="s">
        <v>9</v>
      </c>
      <c r="F161" t="str">
        <f>VLOOKUP(E161,dimensao_bairro!A:B,2,FALSE)</f>
        <v>Portão</v>
      </c>
      <c r="G161" t="s">
        <v>9</v>
      </c>
      <c r="H161" s="5">
        <v>6.5</v>
      </c>
      <c r="I161" s="5">
        <v>2.2999999999999998</v>
      </c>
      <c r="J161" t="str">
        <f t="shared" si="7"/>
        <v>Média</v>
      </c>
      <c r="M161" t="str">
        <f>VLOOKUP(E161,dimensao_bairro!A:B,2,FALSE)</f>
        <v>Portão</v>
      </c>
      <c r="O161" t="str">
        <f>INDEX(dimensao_bairro!B:B,MATCH(tabela_origem!E161,dimensao_bairro!A:A,0))</f>
        <v>Portão</v>
      </c>
      <c r="P161" t="str">
        <f t="shared" si="8"/>
        <v>BAIXO</v>
      </c>
    </row>
    <row r="162" spans="1:16" x14ac:dyDescent="0.25">
      <c r="A162" s="1">
        <v>46104</v>
      </c>
      <c r="B162" s="1" t="s">
        <v>42</v>
      </c>
      <c r="C162" s="2">
        <v>0.37152777777777773</v>
      </c>
      <c r="D162" s="2" t="str">
        <f t="shared" si="6"/>
        <v>08h</v>
      </c>
      <c r="E162" t="s">
        <v>20</v>
      </c>
      <c r="F162" t="str">
        <f>VLOOKUP(E162,dimensao_bairro!A:B,2,FALSE)</f>
        <v>Matriz</v>
      </c>
      <c r="G162" t="s">
        <v>10</v>
      </c>
      <c r="H162" s="5">
        <v>6.5</v>
      </c>
      <c r="I162" s="5">
        <v>1.5</v>
      </c>
      <c r="J162" t="str">
        <f t="shared" si="7"/>
        <v>Curta</v>
      </c>
      <c r="M162" t="str">
        <f>VLOOKUP(E162,dimensao_bairro!A:B,2,FALSE)</f>
        <v>Matriz</v>
      </c>
      <c r="O162" t="str">
        <f>INDEX(dimensao_bairro!B:B,MATCH(tabela_origem!E162,dimensao_bairro!A:A,0))</f>
        <v>Matriz</v>
      </c>
      <c r="P162" t="str">
        <f t="shared" si="8"/>
        <v>BAIXO</v>
      </c>
    </row>
    <row r="163" spans="1:16" x14ac:dyDescent="0.25">
      <c r="A163" s="1">
        <v>46105</v>
      </c>
      <c r="B163" s="1" t="s">
        <v>42</v>
      </c>
      <c r="C163" s="2">
        <v>0.35694444444444445</v>
      </c>
      <c r="D163" s="2" t="str">
        <f t="shared" si="6"/>
        <v>08h</v>
      </c>
      <c r="E163" t="s">
        <v>36</v>
      </c>
      <c r="F163" t="str">
        <f>VLOOKUP(E163,dimensao_bairro!A:B,2,FALSE)</f>
        <v>Portão</v>
      </c>
      <c r="G163" t="s">
        <v>34</v>
      </c>
      <c r="H163" s="5">
        <v>11.97</v>
      </c>
      <c r="I163" s="5">
        <v>6.2</v>
      </c>
      <c r="J163" t="str">
        <f t="shared" si="7"/>
        <v>Longa</v>
      </c>
      <c r="M163" t="str">
        <f>VLOOKUP(E163,dimensao_bairro!A:B,2,FALSE)</f>
        <v>Portão</v>
      </c>
      <c r="O163" t="str">
        <f>INDEX(dimensao_bairro!B:B,MATCH(tabela_origem!E163,dimensao_bairro!A:A,0))</f>
        <v>Portão</v>
      </c>
      <c r="P163" t="str">
        <f t="shared" si="8"/>
        <v>ALTO</v>
      </c>
    </row>
    <row r="164" spans="1:16" x14ac:dyDescent="0.25">
      <c r="A164" s="1">
        <v>46105</v>
      </c>
      <c r="B164" s="1" t="s">
        <v>42</v>
      </c>
      <c r="C164" s="2">
        <v>0.31666666666666665</v>
      </c>
      <c r="D164" s="2" t="str">
        <f t="shared" si="6"/>
        <v>07h</v>
      </c>
      <c r="E164" t="s">
        <v>9</v>
      </c>
      <c r="F164" t="str">
        <f>VLOOKUP(E164,dimensao_bairro!A:B,2,FALSE)</f>
        <v>Portão</v>
      </c>
      <c r="G164" t="s">
        <v>5</v>
      </c>
      <c r="H164" s="5">
        <v>10.7</v>
      </c>
      <c r="I164" s="5">
        <v>3.6</v>
      </c>
      <c r="J164" t="str">
        <f t="shared" si="7"/>
        <v>Média</v>
      </c>
      <c r="M164" t="str">
        <f>VLOOKUP(E164,dimensao_bairro!A:B,2,FALSE)</f>
        <v>Portão</v>
      </c>
      <c r="O164" t="str">
        <f>INDEX(dimensao_bairro!B:B,MATCH(tabela_origem!E164,dimensao_bairro!A:A,0))</f>
        <v>Portão</v>
      </c>
      <c r="P164" t="str">
        <f t="shared" si="8"/>
        <v>ALTO</v>
      </c>
    </row>
    <row r="165" spans="1:16" x14ac:dyDescent="0.25">
      <c r="A165" s="1">
        <v>46105</v>
      </c>
      <c r="B165" s="1" t="s">
        <v>42</v>
      </c>
      <c r="C165" s="2">
        <v>0.30694444444444441</v>
      </c>
      <c r="D165" s="2" t="str">
        <f t="shared" si="6"/>
        <v>07h</v>
      </c>
      <c r="E165" t="s">
        <v>6</v>
      </c>
      <c r="F165" t="str">
        <f>VLOOKUP(E165,dimensao_bairro!A:B,2,FALSE)</f>
        <v>Portão</v>
      </c>
      <c r="G165" t="s">
        <v>13</v>
      </c>
      <c r="H165" s="5">
        <v>10.4</v>
      </c>
      <c r="I165" s="5">
        <v>1.9</v>
      </c>
      <c r="J165" t="str">
        <f t="shared" si="7"/>
        <v>Curta</v>
      </c>
      <c r="M165" t="str">
        <f>VLOOKUP(E165,dimensao_bairro!A:B,2,FALSE)</f>
        <v>Portão</v>
      </c>
      <c r="O165" t="str">
        <f>INDEX(dimensao_bairro!B:B,MATCH(tabela_origem!E165,dimensao_bairro!A:A,0))</f>
        <v>Portão</v>
      </c>
      <c r="P165" t="str">
        <f t="shared" si="8"/>
        <v>ALTO</v>
      </c>
    </row>
    <row r="166" spans="1:16" x14ac:dyDescent="0.25">
      <c r="A166" s="1">
        <v>46105</v>
      </c>
      <c r="B166" s="1" t="s">
        <v>42</v>
      </c>
      <c r="C166" s="2">
        <v>0.33749999999999997</v>
      </c>
      <c r="D166" s="2" t="str">
        <f t="shared" si="6"/>
        <v>08h</v>
      </c>
      <c r="E166" t="s">
        <v>10</v>
      </c>
      <c r="F166" t="str">
        <f>VLOOKUP(E166,dimensao_bairro!A:B,2,FALSE)</f>
        <v>Portão</v>
      </c>
      <c r="G166" t="s">
        <v>30</v>
      </c>
      <c r="H166" s="5">
        <v>8.1999999999999993</v>
      </c>
      <c r="I166" s="5">
        <v>3.6</v>
      </c>
      <c r="J166" t="str">
        <f t="shared" si="7"/>
        <v>Média</v>
      </c>
      <c r="M166" t="str">
        <f>VLOOKUP(E166,dimensao_bairro!A:B,2,FALSE)</f>
        <v>Portão</v>
      </c>
      <c r="O166" t="str">
        <f>INDEX(dimensao_bairro!B:B,MATCH(tabela_origem!E166,dimensao_bairro!A:A,0))</f>
        <v>Portão</v>
      </c>
      <c r="P166" t="str">
        <f t="shared" si="8"/>
        <v>MÉDIO</v>
      </c>
    </row>
    <row r="167" spans="1:16" x14ac:dyDescent="0.25">
      <c r="A167" s="1">
        <v>46105</v>
      </c>
      <c r="B167" s="1" t="s">
        <v>42</v>
      </c>
      <c r="C167" s="2">
        <v>0.34791666666666665</v>
      </c>
      <c r="D167" s="2" t="str">
        <f t="shared" si="6"/>
        <v>08h</v>
      </c>
      <c r="E167" t="s">
        <v>9</v>
      </c>
      <c r="F167" t="str">
        <f>VLOOKUP(E167,dimensao_bairro!A:B,2,FALSE)</f>
        <v>Portão</v>
      </c>
      <c r="G167" t="s">
        <v>34</v>
      </c>
      <c r="H167" s="5">
        <v>8</v>
      </c>
      <c r="I167" s="5">
        <v>2.7</v>
      </c>
      <c r="J167" t="str">
        <f t="shared" si="7"/>
        <v>Média</v>
      </c>
      <c r="M167" t="str">
        <f>VLOOKUP(E167,dimensao_bairro!A:B,2,FALSE)</f>
        <v>Portão</v>
      </c>
      <c r="O167" t="str">
        <f>INDEX(dimensao_bairro!B:B,MATCH(tabela_origem!E167,dimensao_bairro!A:A,0))</f>
        <v>Portão</v>
      </c>
      <c r="P167" t="str">
        <f t="shared" si="8"/>
        <v>MÉDIO</v>
      </c>
    </row>
    <row r="168" spans="1:16" x14ac:dyDescent="0.25">
      <c r="A168" s="1">
        <v>46105</v>
      </c>
      <c r="B168" s="1" t="s">
        <v>42</v>
      </c>
      <c r="C168" s="2">
        <v>0.32847222222222222</v>
      </c>
      <c r="D168" s="2" t="str">
        <f t="shared" si="6"/>
        <v>07h</v>
      </c>
      <c r="E168" t="s">
        <v>34</v>
      </c>
      <c r="F168" t="str">
        <f>VLOOKUP(E168,dimensao_bairro!A:B,2,FALSE)</f>
        <v>Matriz</v>
      </c>
      <c r="G168" t="s">
        <v>9</v>
      </c>
      <c r="H168" s="5">
        <v>6.9</v>
      </c>
      <c r="I168" s="5">
        <v>1.8</v>
      </c>
      <c r="J168" t="str">
        <f t="shared" si="7"/>
        <v>Curta</v>
      </c>
      <c r="M168" t="str">
        <f>VLOOKUP(E168,dimensao_bairro!A:B,2,FALSE)</f>
        <v>Matriz</v>
      </c>
      <c r="O168" t="str">
        <f>INDEX(dimensao_bairro!B:B,MATCH(tabela_origem!E168,dimensao_bairro!A:A,0))</f>
        <v>Matriz</v>
      </c>
      <c r="P168" t="str">
        <f t="shared" si="8"/>
        <v>BAIXO</v>
      </c>
    </row>
    <row r="169" spans="1:16" x14ac:dyDescent="0.25">
      <c r="A169" s="1">
        <v>46105</v>
      </c>
      <c r="B169" s="1" t="s">
        <v>42</v>
      </c>
      <c r="C169" s="2">
        <v>0.31319444444444444</v>
      </c>
      <c r="D169" s="2" t="str">
        <f t="shared" si="6"/>
        <v>07h</v>
      </c>
      <c r="E169" t="s">
        <v>5</v>
      </c>
      <c r="F169" t="str">
        <f>VLOOKUP(E169,dimensao_bairro!A:B,2,FALSE)</f>
        <v>Portão</v>
      </c>
      <c r="G169" t="s">
        <v>20</v>
      </c>
      <c r="H169" s="5">
        <v>6.6</v>
      </c>
      <c r="I169" s="5">
        <v>1.6</v>
      </c>
      <c r="J169" t="str">
        <f t="shared" si="7"/>
        <v>Curta</v>
      </c>
      <c r="M169" t="str">
        <f>VLOOKUP(E169,dimensao_bairro!A:B,2,FALSE)</f>
        <v>Portão</v>
      </c>
      <c r="O169" t="str">
        <f>INDEX(dimensao_bairro!B:B,MATCH(tabela_origem!E169,dimensao_bairro!A:A,0))</f>
        <v>Portão</v>
      </c>
      <c r="P169" t="str">
        <f t="shared" si="8"/>
        <v>BAIXO</v>
      </c>
    </row>
    <row r="170" spans="1:16" x14ac:dyDescent="0.25">
      <c r="A170" s="1">
        <v>46105</v>
      </c>
      <c r="B170" s="1" t="s">
        <v>42</v>
      </c>
      <c r="C170" s="2">
        <v>0.37847222222222227</v>
      </c>
      <c r="D170" s="2" t="str">
        <f t="shared" si="6"/>
        <v>09h</v>
      </c>
      <c r="E170" t="s">
        <v>20</v>
      </c>
      <c r="F170" t="str">
        <f>VLOOKUP(E170,dimensao_bairro!A:B,2,FALSE)</f>
        <v>Matriz</v>
      </c>
      <c r="G170" t="s">
        <v>9</v>
      </c>
      <c r="H170" s="5">
        <v>6.6</v>
      </c>
      <c r="I170" s="5">
        <v>2</v>
      </c>
      <c r="J170" t="str">
        <f t="shared" si="7"/>
        <v>Curta</v>
      </c>
      <c r="M170" t="str">
        <f>VLOOKUP(E170,dimensao_bairro!A:B,2,FALSE)</f>
        <v>Matriz</v>
      </c>
      <c r="O170" t="str">
        <f>INDEX(dimensao_bairro!B:B,MATCH(tabela_origem!E170,dimensao_bairro!A:A,0))</f>
        <v>Matriz</v>
      </c>
      <c r="P170" t="str">
        <f t="shared" si="8"/>
        <v>BAIXO</v>
      </c>
    </row>
    <row r="171" spans="1:16" x14ac:dyDescent="0.25">
      <c r="A171" s="1">
        <v>46105</v>
      </c>
      <c r="B171" s="1" t="s">
        <v>42</v>
      </c>
      <c r="C171" s="2">
        <v>0.4069444444444445</v>
      </c>
      <c r="D171" s="2" t="str">
        <f t="shared" si="6"/>
        <v>09h</v>
      </c>
      <c r="E171" t="s">
        <v>9</v>
      </c>
      <c r="F171" t="str">
        <f>VLOOKUP(E171,dimensao_bairro!A:B,2,FALSE)</f>
        <v>Portão</v>
      </c>
      <c r="G171" t="s">
        <v>5</v>
      </c>
      <c r="H171" s="5">
        <v>6.5</v>
      </c>
      <c r="I171" s="5">
        <v>2.7</v>
      </c>
      <c r="J171" t="str">
        <f t="shared" si="7"/>
        <v>Média</v>
      </c>
      <c r="M171" t="str">
        <f>VLOOKUP(E171,dimensao_bairro!A:B,2,FALSE)</f>
        <v>Portão</v>
      </c>
      <c r="O171" t="str">
        <f>INDEX(dimensao_bairro!B:B,MATCH(tabela_origem!E171,dimensao_bairro!A:A,0))</f>
        <v>Portão</v>
      </c>
      <c r="P171" t="str">
        <f t="shared" si="8"/>
        <v>BAIXO</v>
      </c>
    </row>
    <row r="172" spans="1:16" x14ac:dyDescent="0.25">
      <c r="A172" s="1">
        <v>46105</v>
      </c>
      <c r="B172" s="1" t="s">
        <v>42</v>
      </c>
      <c r="C172" s="2">
        <v>0.4145833333333333</v>
      </c>
      <c r="D172" s="2" t="str">
        <f t="shared" si="6"/>
        <v>09h</v>
      </c>
      <c r="E172" t="s">
        <v>9</v>
      </c>
      <c r="F172" t="str">
        <f>VLOOKUP(E172,dimensao_bairro!A:B,2,FALSE)</f>
        <v>Portão</v>
      </c>
      <c r="G172" t="s">
        <v>9</v>
      </c>
      <c r="H172" s="5">
        <v>6.5</v>
      </c>
      <c r="I172" s="5">
        <v>3.7</v>
      </c>
      <c r="J172" t="str">
        <f t="shared" si="7"/>
        <v>Média</v>
      </c>
      <c r="M172" t="str">
        <f>VLOOKUP(E172,dimensao_bairro!A:B,2,FALSE)</f>
        <v>Portão</v>
      </c>
      <c r="O172" t="str">
        <f>INDEX(dimensao_bairro!B:B,MATCH(tabela_origem!E172,dimensao_bairro!A:A,0))</f>
        <v>Portão</v>
      </c>
      <c r="P172" t="str">
        <f t="shared" si="8"/>
        <v>BAIXO</v>
      </c>
    </row>
    <row r="173" spans="1:16" x14ac:dyDescent="0.25">
      <c r="A173" s="1">
        <v>46105</v>
      </c>
      <c r="B173" s="1" t="s">
        <v>42</v>
      </c>
      <c r="C173" s="2">
        <v>0.3972222222222222</v>
      </c>
      <c r="D173" s="2" t="str">
        <f t="shared" si="6"/>
        <v>09h</v>
      </c>
      <c r="E173" t="s">
        <v>5</v>
      </c>
      <c r="F173" t="str">
        <f>VLOOKUP(E173,dimensao_bairro!A:B,2,FALSE)</f>
        <v>Portão</v>
      </c>
      <c r="G173" t="s">
        <v>20</v>
      </c>
      <c r="H173" s="5">
        <v>6.5</v>
      </c>
      <c r="I173" s="5">
        <v>2.2999999999999998</v>
      </c>
      <c r="J173" t="str">
        <f t="shared" si="7"/>
        <v>Média</v>
      </c>
      <c r="M173" t="str">
        <f>VLOOKUP(E173,dimensao_bairro!A:B,2,FALSE)</f>
        <v>Portão</v>
      </c>
      <c r="O173" t="str">
        <f>INDEX(dimensao_bairro!B:B,MATCH(tabela_origem!E173,dimensao_bairro!A:A,0))</f>
        <v>Portão</v>
      </c>
      <c r="P173" t="str">
        <f t="shared" si="8"/>
        <v>BAIXO</v>
      </c>
    </row>
    <row r="174" spans="1:16" x14ac:dyDescent="0.25">
      <c r="A174" s="1">
        <v>46105</v>
      </c>
      <c r="B174" s="1" t="s">
        <v>42</v>
      </c>
      <c r="C174" s="2">
        <v>0.375</v>
      </c>
      <c r="D174" s="2" t="str">
        <f t="shared" si="6"/>
        <v>09h</v>
      </c>
      <c r="E174" t="s">
        <v>20</v>
      </c>
      <c r="F174" t="str">
        <f>VLOOKUP(E174,dimensao_bairro!A:B,2,FALSE)</f>
        <v>Matriz</v>
      </c>
      <c r="G174" t="s">
        <v>10</v>
      </c>
      <c r="H174" s="5">
        <v>6.5</v>
      </c>
      <c r="I174" s="5">
        <v>1.4</v>
      </c>
      <c r="J174" t="str">
        <f t="shared" si="7"/>
        <v>Curta</v>
      </c>
      <c r="M174" t="str">
        <f>VLOOKUP(E174,dimensao_bairro!A:B,2,FALSE)</f>
        <v>Matriz</v>
      </c>
      <c r="O174" t="str">
        <f>INDEX(dimensao_bairro!B:B,MATCH(tabela_origem!E174,dimensao_bairro!A:A,0))</f>
        <v>Matriz</v>
      </c>
      <c r="P174" t="str">
        <f t="shared" si="8"/>
        <v>BAIXO</v>
      </c>
    </row>
    <row r="175" spans="1:16" x14ac:dyDescent="0.25">
      <c r="A175" s="1">
        <v>46105</v>
      </c>
      <c r="B175" s="1" t="s">
        <v>42</v>
      </c>
      <c r="C175" s="2">
        <v>0.39305555555555555</v>
      </c>
      <c r="D175" s="2" t="str">
        <f t="shared" si="6"/>
        <v>09h</v>
      </c>
      <c r="E175" t="s">
        <v>20</v>
      </c>
      <c r="F175" t="str">
        <f>VLOOKUP(E175,dimensao_bairro!A:B,2,FALSE)</f>
        <v>Matriz</v>
      </c>
      <c r="G175" t="s">
        <v>12</v>
      </c>
      <c r="H175" s="5">
        <v>6.5</v>
      </c>
      <c r="I175" s="5">
        <v>2.6</v>
      </c>
      <c r="J175" t="str">
        <f t="shared" si="7"/>
        <v>Média</v>
      </c>
      <c r="M175" t="str">
        <f>VLOOKUP(E175,dimensao_bairro!A:B,2,FALSE)</f>
        <v>Matriz</v>
      </c>
      <c r="O175" t="str">
        <f>INDEX(dimensao_bairro!B:B,MATCH(tabela_origem!E175,dimensao_bairro!A:A,0))</f>
        <v>Matriz</v>
      </c>
      <c r="P175" t="str">
        <f t="shared" si="8"/>
        <v>BAIXO</v>
      </c>
    </row>
    <row r="176" spans="1:16" x14ac:dyDescent="0.25">
      <c r="A176" s="1">
        <v>46106</v>
      </c>
      <c r="B176" s="1" t="s">
        <v>42</v>
      </c>
      <c r="C176" s="2">
        <v>0.32430555555555557</v>
      </c>
      <c r="D176" s="2" t="str">
        <f t="shared" si="6"/>
        <v>07h</v>
      </c>
      <c r="E176" t="s">
        <v>12</v>
      </c>
      <c r="F176" t="str">
        <f>VLOOKUP(E176,dimensao_bairro!A:B,2,FALSE)</f>
        <v>Portão</v>
      </c>
      <c r="G176" t="s">
        <v>20</v>
      </c>
      <c r="H176" s="5">
        <v>12.2</v>
      </c>
      <c r="I176" s="5">
        <v>1.4</v>
      </c>
      <c r="J176" t="str">
        <f t="shared" si="7"/>
        <v>Curta</v>
      </c>
      <c r="M176" t="str">
        <f>VLOOKUP(E176,dimensao_bairro!A:B,2,FALSE)</f>
        <v>Portão</v>
      </c>
      <c r="O176" t="str">
        <f>INDEX(dimensao_bairro!B:B,MATCH(tabela_origem!E176,dimensao_bairro!A:A,0))</f>
        <v>Portão</v>
      </c>
      <c r="P176" t="str">
        <f t="shared" si="8"/>
        <v>ALTO</v>
      </c>
    </row>
    <row r="177" spans="1:16" x14ac:dyDescent="0.25">
      <c r="A177" s="1">
        <v>46106</v>
      </c>
      <c r="B177" s="1" t="s">
        <v>42</v>
      </c>
      <c r="C177" s="2">
        <v>0.34583333333333338</v>
      </c>
      <c r="D177" s="2" t="str">
        <f t="shared" si="6"/>
        <v>08h</v>
      </c>
      <c r="E177" t="s">
        <v>9</v>
      </c>
      <c r="F177" t="str">
        <f>VLOOKUP(E177,dimensao_bairro!A:B,2,FALSE)</f>
        <v>Portão</v>
      </c>
      <c r="G177" t="s">
        <v>9</v>
      </c>
      <c r="H177" s="5">
        <v>7.69</v>
      </c>
      <c r="I177" s="5">
        <v>3.3</v>
      </c>
      <c r="J177" t="str">
        <f t="shared" si="7"/>
        <v>Média</v>
      </c>
      <c r="M177" t="str">
        <f>VLOOKUP(E177,dimensao_bairro!A:B,2,FALSE)</f>
        <v>Portão</v>
      </c>
      <c r="O177" t="str">
        <f>INDEX(dimensao_bairro!B:B,MATCH(tabela_origem!E177,dimensao_bairro!A:A,0))</f>
        <v>Portão</v>
      </c>
      <c r="P177" t="str">
        <f t="shared" si="8"/>
        <v>MÉDIO</v>
      </c>
    </row>
    <row r="178" spans="1:16" x14ac:dyDescent="0.25">
      <c r="A178" s="1">
        <v>46106</v>
      </c>
      <c r="B178" s="1" t="s">
        <v>42</v>
      </c>
      <c r="C178" s="2">
        <v>0.33958333333333335</v>
      </c>
      <c r="D178" s="2" t="str">
        <f t="shared" si="6"/>
        <v>08h</v>
      </c>
      <c r="E178" t="s">
        <v>10</v>
      </c>
      <c r="F178" t="str">
        <f>VLOOKUP(E178,dimensao_bairro!A:B,2,FALSE)</f>
        <v>Portão</v>
      </c>
      <c r="G178" t="s">
        <v>5</v>
      </c>
      <c r="H178" s="5">
        <v>6.9</v>
      </c>
      <c r="I178" s="5">
        <v>3.3</v>
      </c>
      <c r="J178" t="str">
        <f t="shared" si="7"/>
        <v>Média</v>
      </c>
      <c r="M178" t="str">
        <f>VLOOKUP(E178,dimensao_bairro!A:B,2,FALSE)</f>
        <v>Portão</v>
      </c>
      <c r="O178" t="str">
        <f>INDEX(dimensao_bairro!B:B,MATCH(tabela_origem!E178,dimensao_bairro!A:A,0))</f>
        <v>Portão</v>
      </c>
      <c r="P178" t="str">
        <f t="shared" si="8"/>
        <v>BAIXO</v>
      </c>
    </row>
    <row r="179" spans="1:16" x14ac:dyDescent="0.25">
      <c r="A179" s="1">
        <v>46106</v>
      </c>
      <c r="B179" s="1" t="s">
        <v>42</v>
      </c>
      <c r="C179" s="2">
        <v>0.33263888888888887</v>
      </c>
      <c r="D179" s="2" t="str">
        <f t="shared" si="6"/>
        <v>07h</v>
      </c>
      <c r="E179" t="s">
        <v>8</v>
      </c>
      <c r="F179" t="str">
        <f>VLOOKUP(E179,dimensao_bairro!A:B,2,FALSE)</f>
        <v>Portão</v>
      </c>
      <c r="G179" t="s">
        <v>10</v>
      </c>
      <c r="H179" s="5">
        <v>6.7</v>
      </c>
      <c r="I179" s="5">
        <v>1.9</v>
      </c>
      <c r="J179" t="str">
        <f t="shared" si="7"/>
        <v>Curta</v>
      </c>
      <c r="M179" t="str">
        <f>VLOOKUP(E179,dimensao_bairro!A:B,2,FALSE)</f>
        <v>Portão</v>
      </c>
      <c r="O179" t="str">
        <f>INDEX(dimensao_bairro!B:B,MATCH(tabela_origem!E179,dimensao_bairro!A:A,0))</f>
        <v>Portão</v>
      </c>
      <c r="P179" t="str">
        <f t="shared" si="8"/>
        <v>BAIXO</v>
      </c>
    </row>
    <row r="180" spans="1:16" x14ac:dyDescent="0.25">
      <c r="A180" s="1">
        <v>46106</v>
      </c>
      <c r="B180" s="1" t="s">
        <v>42</v>
      </c>
      <c r="C180" s="2">
        <v>0.35902777777777778</v>
      </c>
      <c r="D180" s="2" t="str">
        <f t="shared" si="6"/>
        <v>08h</v>
      </c>
      <c r="E180" t="s">
        <v>20</v>
      </c>
      <c r="F180" t="str">
        <f>VLOOKUP(E180,dimensao_bairro!A:B,2,FALSE)</f>
        <v>Matriz</v>
      </c>
      <c r="G180" t="s">
        <v>11</v>
      </c>
      <c r="H180" s="5">
        <v>6.7</v>
      </c>
      <c r="I180" s="5">
        <v>0.8</v>
      </c>
      <c r="J180" t="str">
        <f t="shared" si="7"/>
        <v>Curta</v>
      </c>
      <c r="M180" t="str">
        <f>VLOOKUP(E180,dimensao_bairro!A:B,2,FALSE)</f>
        <v>Matriz</v>
      </c>
      <c r="O180" t="str">
        <f>INDEX(dimensao_bairro!B:B,MATCH(tabela_origem!E180,dimensao_bairro!A:A,0))</f>
        <v>Matriz</v>
      </c>
      <c r="P180" t="str">
        <f t="shared" si="8"/>
        <v>BAIXO</v>
      </c>
    </row>
    <row r="181" spans="1:16" x14ac:dyDescent="0.25">
      <c r="A181" s="1">
        <v>46106</v>
      </c>
      <c r="B181" s="1" t="s">
        <v>42</v>
      </c>
      <c r="C181" s="2">
        <v>0.36180555555555555</v>
      </c>
      <c r="D181" s="2" t="str">
        <f t="shared" si="6"/>
        <v>08h</v>
      </c>
      <c r="E181" t="s">
        <v>13</v>
      </c>
      <c r="F181" t="str">
        <f>VLOOKUP(E181,dimensao_bairro!A:B,2,FALSE)</f>
        <v>Matriz</v>
      </c>
      <c r="G181" t="s">
        <v>15</v>
      </c>
      <c r="H181" s="5">
        <v>6.6</v>
      </c>
      <c r="I181" s="5">
        <v>1.9</v>
      </c>
      <c r="J181" t="str">
        <f t="shared" si="7"/>
        <v>Curta</v>
      </c>
      <c r="M181" t="str">
        <f>VLOOKUP(E181,dimensao_bairro!A:B,2,FALSE)</f>
        <v>Matriz</v>
      </c>
      <c r="O181" t="str">
        <f>INDEX(dimensao_bairro!B:B,MATCH(tabela_origem!E181,dimensao_bairro!A:A,0))</f>
        <v>Matriz</v>
      </c>
      <c r="P181" t="str">
        <f t="shared" si="8"/>
        <v>BAIXO</v>
      </c>
    </row>
    <row r="182" spans="1:16" x14ac:dyDescent="0.25">
      <c r="A182" s="1">
        <v>46106</v>
      </c>
      <c r="B182" s="1" t="s">
        <v>42</v>
      </c>
      <c r="C182" s="2">
        <v>0.41666666666666669</v>
      </c>
      <c r="D182" s="2" t="str">
        <f t="shared" si="6"/>
        <v>10h</v>
      </c>
      <c r="E182" t="s">
        <v>11</v>
      </c>
      <c r="F182" t="str">
        <f>VLOOKUP(E182,dimensao_bairro!A:B,2,FALSE)</f>
        <v>Boqueirão</v>
      </c>
      <c r="G182" t="s">
        <v>29</v>
      </c>
      <c r="H182" s="5">
        <v>6.6</v>
      </c>
      <c r="I182" s="5">
        <v>1.8</v>
      </c>
      <c r="J182" t="str">
        <f t="shared" si="7"/>
        <v>Curta</v>
      </c>
      <c r="M182" t="str">
        <f>VLOOKUP(E182,dimensao_bairro!A:B,2,FALSE)</f>
        <v>Boqueirão</v>
      </c>
      <c r="O182" t="str">
        <f>INDEX(dimensao_bairro!B:B,MATCH(tabela_origem!E182,dimensao_bairro!A:A,0))</f>
        <v>Boqueirão</v>
      </c>
      <c r="P182" t="str">
        <f t="shared" si="8"/>
        <v>BAIXO</v>
      </c>
    </row>
    <row r="183" spans="1:16" x14ac:dyDescent="0.25">
      <c r="A183" s="1">
        <v>46107</v>
      </c>
      <c r="B183" s="1" t="s">
        <v>42</v>
      </c>
      <c r="C183" s="2">
        <v>0.31666666666666665</v>
      </c>
      <c r="D183" s="2" t="str">
        <f t="shared" si="6"/>
        <v>07h</v>
      </c>
      <c r="E183" t="s">
        <v>6</v>
      </c>
      <c r="F183" t="str">
        <f>VLOOKUP(E183,dimensao_bairro!A:B,2,FALSE)</f>
        <v>Portão</v>
      </c>
      <c r="G183" t="s">
        <v>5</v>
      </c>
      <c r="H183" s="5">
        <v>17.2</v>
      </c>
      <c r="I183" s="5">
        <v>4.8</v>
      </c>
      <c r="J183" t="str">
        <f t="shared" si="7"/>
        <v>Longa</v>
      </c>
      <c r="M183" t="str">
        <f>VLOOKUP(E183,dimensao_bairro!A:B,2,FALSE)</f>
        <v>Portão</v>
      </c>
      <c r="O183" t="str">
        <f>INDEX(dimensao_bairro!B:B,MATCH(tabela_origem!E183,dimensao_bairro!A:A,0))</f>
        <v>Portão</v>
      </c>
      <c r="P183" t="str">
        <f t="shared" si="8"/>
        <v>ALTO</v>
      </c>
    </row>
    <row r="184" spans="1:16" x14ac:dyDescent="0.25">
      <c r="A184" s="1">
        <v>46107</v>
      </c>
      <c r="B184" s="1" t="s">
        <v>42</v>
      </c>
      <c r="C184" s="2">
        <v>0.33333333333333331</v>
      </c>
      <c r="D184" s="2" t="str">
        <f t="shared" si="6"/>
        <v>08h</v>
      </c>
      <c r="E184" t="s">
        <v>29</v>
      </c>
      <c r="F184" t="str">
        <f>VLOOKUP(E184,dimensao_bairro!A:B,2,FALSE)</f>
        <v>Portão</v>
      </c>
      <c r="G184" t="s">
        <v>9</v>
      </c>
      <c r="H184" s="5">
        <v>13.2</v>
      </c>
      <c r="I184" s="5">
        <v>5.6</v>
      </c>
      <c r="J184" t="str">
        <f t="shared" si="7"/>
        <v>Longa</v>
      </c>
      <c r="M184" t="str">
        <f>VLOOKUP(E184,dimensao_bairro!A:B,2,FALSE)</f>
        <v>Portão</v>
      </c>
      <c r="O184" t="str">
        <f>INDEX(dimensao_bairro!B:B,MATCH(tabela_origem!E184,dimensao_bairro!A:A,0))</f>
        <v>Portão</v>
      </c>
      <c r="P184" t="str">
        <f t="shared" si="8"/>
        <v>ALTO</v>
      </c>
    </row>
    <row r="185" spans="1:16" x14ac:dyDescent="0.25">
      <c r="A185" s="1">
        <v>46107</v>
      </c>
      <c r="B185" s="1" t="s">
        <v>42</v>
      </c>
      <c r="C185" s="2">
        <v>0.31041666666666667</v>
      </c>
      <c r="D185" s="2" t="str">
        <f t="shared" si="6"/>
        <v>07h</v>
      </c>
      <c r="E185" t="s">
        <v>8</v>
      </c>
      <c r="F185" t="str">
        <f>VLOOKUP(E185,dimensao_bairro!A:B,2,FALSE)</f>
        <v>Portão</v>
      </c>
      <c r="G185" t="s">
        <v>20</v>
      </c>
      <c r="H185" s="5">
        <v>12.5</v>
      </c>
      <c r="I185" s="5">
        <v>2.7</v>
      </c>
      <c r="J185" t="str">
        <f t="shared" si="7"/>
        <v>Média</v>
      </c>
      <c r="M185" t="str">
        <f>VLOOKUP(E185,dimensao_bairro!A:B,2,FALSE)</f>
        <v>Portão</v>
      </c>
      <c r="O185" t="str">
        <f>INDEX(dimensao_bairro!B:B,MATCH(tabela_origem!E185,dimensao_bairro!A:A,0))</f>
        <v>Portão</v>
      </c>
      <c r="P185" t="str">
        <f t="shared" si="8"/>
        <v>ALTO</v>
      </c>
    </row>
    <row r="186" spans="1:16" x14ac:dyDescent="0.25">
      <c r="A186" s="1">
        <v>46107</v>
      </c>
      <c r="B186" s="1" t="s">
        <v>42</v>
      </c>
      <c r="C186" s="2">
        <v>0.35694444444444445</v>
      </c>
      <c r="D186" s="2" t="str">
        <f t="shared" si="6"/>
        <v>08h</v>
      </c>
      <c r="E186" t="s">
        <v>9</v>
      </c>
      <c r="F186" t="str">
        <f>VLOOKUP(E186,dimensao_bairro!A:B,2,FALSE)</f>
        <v>Portão</v>
      </c>
      <c r="G186" t="s">
        <v>9</v>
      </c>
      <c r="H186" s="5">
        <v>7.6</v>
      </c>
      <c r="I186" s="5">
        <v>3.3</v>
      </c>
      <c r="J186" t="str">
        <f t="shared" si="7"/>
        <v>Média</v>
      </c>
      <c r="M186" t="str">
        <f>VLOOKUP(E186,dimensao_bairro!A:B,2,FALSE)</f>
        <v>Portão</v>
      </c>
      <c r="O186" t="str">
        <f>INDEX(dimensao_bairro!B:B,MATCH(tabela_origem!E186,dimensao_bairro!A:A,0))</f>
        <v>Portão</v>
      </c>
      <c r="P186" t="str">
        <f t="shared" si="8"/>
        <v>MÉDIO</v>
      </c>
    </row>
    <row r="187" spans="1:16" x14ac:dyDescent="0.25">
      <c r="A187" s="1">
        <v>46107</v>
      </c>
      <c r="B187" s="1" t="s">
        <v>42</v>
      </c>
      <c r="C187" s="2">
        <v>0.41250000000000003</v>
      </c>
      <c r="D187" s="2" t="str">
        <f t="shared" si="6"/>
        <v>09h</v>
      </c>
      <c r="E187" t="s">
        <v>6</v>
      </c>
      <c r="F187" t="str">
        <f>VLOOKUP(E187,dimensao_bairro!A:B,2,FALSE)</f>
        <v>Portão</v>
      </c>
      <c r="G187" t="s">
        <v>29</v>
      </c>
      <c r="H187" s="5">
        <v>7.3</v>
      </c>
      <c r="I187" s="5">
        <v>3</v>
      </c>
      <c r="J187" t="str">
        <f t="shared" si="7"/>
        <v>Média</v>
      </c>
      <c r="M187" t="str">
        <f>VLOOKUP(E187,dimensao_bairro!A:B,2,FALSE)</f>
        <v>Portão</v>
      </c>
      <c r="O187" t="str">
        <f>INDEX(dimensao_bairro!B:B,MATCH(tabela_origem!E187,dimensao_bairro!A:A,0))</f>
        <v>Portão</v>
      </c>
      <c r="P187" t="str">
        <f t="shared" si="8"/>
        <v>MÉDIO</v>
      </c>
    </row>
    <row r="188" spans="1:16" x14ac:dyDescent="0.25">
      <c r="A188" s="1">
        <v>46107</v>
      </c>
      <c r="B188" s="1" t="s">
        <v>42</v>
      </c>
      <c r="C188" s="2">
        <v>0.32847222222222222</v>
      </c>
      <c r="D188" s="2" t="str">
        <f t="shared" si="6"/>
        <v>07h</v>
      </c>
      <c r="E188" t="s">
        <v>29</v>
      </c>
      <c r="F188" t="str">
        <f>VLOOKUP(E188,dimensao_bairro!A:B,2,FALSE)</f>
        <v>Portão</v>
      </c>
      <c r="G188" t="s">
        <v>9</v>
      </c>
      <c r="H188" s="5">
        <v>7.2</v>
      </c>
      <c r="I188" s="5">
        <v>0.8</v>
      </c>
      <c r="J188" t="str">
        <f t="shared" si="7"/>
        <v>Curta</v>
      </c>
      <c r="M188" t="str">
        <f>VLOOKUP(E188,dimensao_bairro!A:B,2,FALSE)</f>
        <v>Portão</v>
      </c>
      <c r="O188" t="str">
        <f>INDEX(dimensao_bairro!B:B,MATCH(tabela_origem!E188,dimensao_bairro!A:A,0))</f>
        <v>Portão</v>
      </c>
      <c r="P188" t="str">
        <f t="shared" si="8"/>
        <v>MÉDIO</v>
      </c>
    </row>
    <row r="189" spans="1:16" x14ac:dyDescent="0.25">
      <c r="A189" s="1">
        <v>46107</v>
      </c>
      <c r="B189" s="1" t="s">
        <v>42</v>
      </c>
      <c r="C189" s="2">
        <v>0.37291666666666662</v>
      </c>
      <c r="D189" s="2" t="str">
        <f t="shared" si="6"/>
        <v>08h</v>
      </c>
      <c r="E189" t="s">
        <v>9</v>
      </c>
      <c r="F189" t="str">
        <f>VLOOKUP(E189,dimensao_bairro!A:B,2,FALSE)</f>
        <v>Portão</v>
      </c>
      <c r="G189" t="s">
        <v>9</v>
      </c>
      <c r="H189" s="5">
        <v>7.1</v>
      </c>
      <c r="I189" s="5">
        <v>3</v>
      </c>
      <c r="J189" t="str">
        <f t="shared" si="7"/>
        <v>Média</v>
      </c>
      <c r="M189" t="str">
        <f>VLOOKUP(E189,dimensao_bairro!A:B,2,FALSE)</f>
        <v>Portão</v>
      </c>
      <c r="O189" t="str">
        <f>INDEX(dimensao_bairro!B:B,MATCH(tabela_origem!E189,dimensao_bairro!A:A,0))</f>
        <v>Portão</v>
      </c>
      <c r="P189" t="str">
        <f t="shared" si="8"/>
        <v>MÉDIO</v>
      </c>
    </row>
    <row r="190" spans="1:16" x14ac:dyDescent="0.25">
      <c r="A190" s="1">
        <v>46107</v>
      </c>
      <c r="B190" s="1" t="s">
        <v>42</v>
      </c>
      <c r="C190" s="2">
        <v>0.38472222222222219</v>
      </c>
      <c r="D190" s="2" t="str">
        <f t="shared" si="6"/>
        <v>09h</v>
      </c>
      <c r="E190" t="s">
        <v>9</v>
      </c>
      <c r="F190" t="str">
        <f>VLOOKUP(E190,dimensao_bairro!A:B,2,FALSE)</f>
        <v>Portão</v>
      </c>
      <c r="G190" t="s">
        <v>6</v>
      </c>
      <c r="H190" s="5">
        <v>6.8</v>
      </c>
      <c r="I190" s="5">
        <v>3</v>
      </c>
      <c r="J190" t="str">
        <f t="shared" si="7"/>
        <v>Média</v>
      </c>
      <c r="M190" t="str">
        <f>VLOOKUP(E190,dimensao_bairro!A:B,2,FALSE)</f>
        <v>Portão</v>
      </c>
      <c r="O190" t="str">
        <f>INDEX(dimensao_bairro!B:B,MATCH(tabela_origem!E190,dimensao_bairro!A:A,0))</f>
        <v>Portão</v>
      </c>
      <c r="P190" t="str">
        <f t="shared" si="8"/>
        <v>BAIXO</v>
      </c>
    </row>
    <row r="191" spans="1:16" x14ac:dyDescent="0.25">
      <c r="A191" s="1">
        <v>46107</v>
      </c>
      <c r="B191" s="1" t="s">
        <v>42</v>
      </c>
      <c r="C191" s="2">
        <v>0.40416666666666662</v>
      </c>
      <c r="D191" s="2" t="str">
        <f t="shared" si="6"/>
        <v>09h</v>
      </c>
      <c r="E191" t="s">
        <v>9</v>
      </c>
      <c r="F191" t="str">
        <f>VLOOKUP(E191,dimensao_bairro!A:B,2,FALSE)</f>
        <v>Portão</v>
      </c>
      <c r="G191" t="s">
        <v>9</v>
      </c>
      <c r="H191" s="5">
        <v>6.6</v>
      </c>
      <c r="I191" s="5">
        <v>3.8</v>
      </c>
      <c r="J191" t="str">
        <f t="shared" si="7"/>
        <v>Média</v>
      </c>
      <c r="M191" t="str">
        <f>VLOOKUP(E191,dimensao_bairro!A:B,2,FALSE)</f>
        <v>Portão</v>
      </c>
      <c r="O191" t="str">
        <f>INDEX(dimensao_bairro!B:B,MATCH(tabela_origem!E191,dimensao_bairro!A:A,0))</f>
        <v>Portão</v>
      </c>
      <c r="P191" t="str">
        <f t="shared" si="8"/>
        <v>BAIXO</v>
      </c>
    </row>
    <row r="192" spans="1:16" x14ac:dyDescent="0.25">
      <c r="A192" s="1">
        <v>46107</v>
      </c>
      <c r="B192" s="1" t="s">
        <v>42</v>
      </c>
      <c r="C192" s="2">
        <v>0.34791666666666665</v>
      </c>
      <c r="D192" s="2" t="str">
        <f t="shared" si="6"/>
        <v>08h</v>
      </c>
      <c r="E192" t="s">
        <v>9</v>
      </c>
      <c r="F192" t="str">
        <f>VLOOKUP(E192,dimensao_bairro!A:B,2,FALSE)</f>
        <v>Portão</v>
      </c>
      <c r="G192" t="s">
        <v>9</v>
      </c>
      <c r="H192" s="5">
        <v>6.5</v>
      </c>
      <c r="I192" s="5">
        <v>1.6</v>
      </c>
      <c r="J192" t="str">
        <f t="shared" si="7"/>
        <v>Curta</v>
      </c>
      <c r="M192" t="str">
        <f>VLOOKUP(E192,dimensao_bairro!A:B,2,FALSE)</f>
        <v>Portão</v>
      </c>
      <c r="O192" t="str">
        <f>INDEX(dimensao_bairro!B:B,MATCH(tabela_origem!E192,dimensao_bairro!A:A,0))</f>
        <v>Portão</v>
      </c>
      <c r="P192" t="str">
        <f t="shared" si="8"/>
        <v>BAIXO</v>
      </c>
    </row>
    <row r="193" spans="1:16" x14ac:dyDescent="0.25">
      <c r="A193" s="1">
        <v>46107</v>
      </c>
      <c r="B193" s="1" t="s">
        <v>42</v>
      </c>
      <c r="C193" s="2">
        <v>0.3527777777777778</v>
      </c>
      <c r="D193" s="2" t="str">
        <f t="shared" si="6"/>
        <v>08h</v>
      </c>
      <c r="E193" t="s">
        <v>9</v>
      </c>
      <c r="F193" t="str">
        <f>VLOOKUP(E193,dimensao_bairro!A:B,2,FALSE)</f>
        <v>Portão</v>
      </c>
      <c r="G193" t="s">
        <v>20</v>
      </c>
      <c r="H193" s="5">
        <v>6.5</v>
      </c>
      <c r="I193" s="5">
        <v>2</v>
      </c>
      <c r="J193" t="str">
        <f t="shared" si="7"/>
        <v>Curta</v>
      </c>
      <c r="M193" t="str">
        <f>VLOOKUP(E193,dimensao_bairro!A:B,2,FALSE)</f>
        <v>Portão</v>
      </c>
      <c r="O193" t="str">
        <f>INDEX(dimensao_bairro!B:B,MATCH(tabela_origem!E193,dimensao_bairro!A:A,0))</f>
        <v>Portão</v>
      </c>
      <c r="P193" t="str">
        <f t="shared" si="8"/>
        <v>BAIXO</v>
      </c>
    </row>
    <row r="194" spans="1:16" x14ac:dyDescent="0.25">
      <c r="A194" s="1">
        <v>46107</v>
      </c>
      <c r="B194" s="1" t="s">
        <v>42</v>
      </c>
      <c r="C194" s="2">
        <v>0.3979166666666667</v>
      </c>
      <c r="D194" s="2" t="str">
        <f t="shared" si="6"/>
        <v>09h</v>
      </c>
      <c r="E194" t="s">
        <v>9</v>
      </c>
      <c r="F194" t="str">
        <f>VLOOKUP(E194,dimensao_bairro!A:B,2,FALSE)</f>
        <v>Portão</v>
      </c>
      <c r="G194" t="s">
        <v>10</v>
      </c>
      <c r="H194" s="5">
        <v>6.5</v>
      </c>
      <c r="I194" s="5">
        <v>1.9</v>
      </c>
      <c r="J194" t="str">
        <f t="shared" si="7"/>
        <v>Curta</v>
      </c>
      <c r="M194" t="str">
        <f>VLOOKUP(E194,dimensao_bairro!A:B,2,FALSE)</f>
        <v>Portão</v>
      </c>
      <c r="O194" t="str">
        <f>INDEX(dimensao_bairro!B:B,MATCH(tabela_origem!E194,dimensao_bairro!A:A,0))</f>
        <v>Portão</v>
      </c>
      <c r="P194" t="str">
        <f t="shared" si="8"/>
        <v>BAIXO</v>
      </c>
    </row>
    <row r="195" spans="1:16" x14ac:dyDescent="0.25">
      <c r="A195" s="1">
        <v>46108</v>
      </c>
      <c r="B195" s="1" t="s">
        <v>42</v>
      </c>
      <c r="C195" s="2">
        <v>0.31666666666666665</v>
      </c>
      <c r="D195" s="2" t="str">
        <f t="shared" ref="D195:D258" si="9">TEXT(C195,"hh")&amp;"h"</f>
        <v>07h</v>
      </c>
      <c r="E195" t="s">
        <v>26</v>
      </c>
      <c r="F195" t="str">
        <f>VLOOKUP(E195,dimensao_bairro!A:B,2,FALSE)</f>
        <v>Portão</v>
      </c>
      <c r="G195" t="s">
        <v>11</v>
      </c>
      <c r="H195" s="5">
        <v>10.5</v>
      </c>
      <c r="I195" s="5">
        <v>2.9</v>
      </c>
      <c r="J195" t="str">
        <f t="shared" ref="J195:J258" si="10">IF(I195&lt;=2,"Curta",IF(I195&lt;=4,"Média","Longa"))</f>
        <v>Média</v>
      </c>
      <c r="M195" t="str">
        <f>VLOOKUP(E195,dimensao_bairro!A:B,2,FALSE)</f>
        <v>Portão</v>
      </c>
      <c r="O195" t="str">
        <f>INDEX(dimensao_bairro!B:B,MATCH(tabela_origem!E195,dimensao_bairro!A:A,0))</f>
        <v>Portão</v>
      </c>
      <c r="P195" t="str">
        <f t="shared" ref="P195:P258" si="11">IF(H195&lt;7,"BAIXO",IF(H195&lt;=10,"MÉDIO","ALTO"))</f>
        <v>ALTO</v>
      </c>
    </row>
    <row r="196" spans="1:16" x14ac:dyDescent="0.25">
      <c r="A196" s="1">
        <v>46108</v>
      </c>
      <c r="B196" s="1" t="s">
        <v>42</v>
      </c>
      <c r="C196" s="2">
        <v>0.35486111111111113</v>
      </c>
      <c r="D196" s="2" t="str">
        <f t="shared" si="9"/>
        <v>08h</v>
      </c>
      <c r="E196" t="s">
        <v>15</v>
      </c>
      <c r="F196" t="str">
        <f>VLOOKUP(E196,dimensao_bairro!A:B,2,FALSE)</f>
        <v>Boqueirão</v>
      </c>
      <c r="G196" t="s">
        <v>25</v>
      </c>
      <c r="H196" s="5">
        <v>10</v>
      </c>
      <c r="I196" s="5">
        <v>4.5999999999999996</v>
      </c>
      <c r="J196" t="str">
        <f t="shared" si="10"/>
        <v>Longa</v>
      </c>
      <c r="M196" t="str">
        <f>VLOOKUP(E196,dimensao_bairro!A:B,2,FALSE)</f>
        <v>Boqueirão</v>
      </c>
      <c r="O196" t="str">
        <f>INDEX(dimensao_bairro!B:B,MATCH(tabela_origem!E196,dimensao_bairro!A:A,0))</f>
        <v>Boqueirão</v>
      </c>
      <c r="P196" t="str">
        <f t="shared" si="11"/>
        <v>MÉDIO</v>
      </c>
    </row>
    <row r="197" spans="1:16" x14ac:dyDescent="0.25">
      <c r="A197" s="1">
        <v>46108</v>
      </c>
      <c r="B197" s="1" t="s">
        <v>42</v>
      </c>
      <c r="C197" s="2">
        <v>0.39583333333333331</v>
      </c>
      <c r="D197" s="2" t="str">
        <f t="shared" si="9"/>
        <v>09h</v>
      </c>
      <c r="E197" t="s">
        <v>15</v>
      </c>
      <c r="F197" t="str">
        <f>VLOOKUP(E197,dimensao_bairro!A:B,2,FALSE)</f>
        <v>Boqueirão</v>
      </c>
      <c r="G197" t="s">
        <v>23</v>
      </c>
      <c r="H197" s="5">
        <v>9.4</v>
      </c>
      <c r="I197" s="5">
        <v>4.7</v>
      </c>
      <c r="J197" t="str">
        <f t="shared" si="10"/>
        <v>Longa</v>
      </c>
      <c r="M197" t="str">
        <f>VLOOKUP(E197,dimensao_bairro!A:B,2,FALSE)</f>
        <v>Boqueirão</v>
      </c>
      <c r="O197" t="str">
        <f>INDEX(dimensao_bairro!B:B,MATCH(tabela_origem!E197,dimensao_bairro!A:A,0))</f>
        <v>Boqueirão</v>
      </c>
      <c r="P197" t="str">
        <f t="shared" si="11"/>
        <v>MÉDIO</v>
      </c>
    </row>
    <row r="198" spans="1:16" x14ac:dyDescent="0.25">
      <c r="A198" s="1">
        <v>46108</v>
      </c>
      <c r="B198" s="1" t="s">
        <v>42</v>
      </c>
      <c r="C198" s="2">
        <v>0.33124999999999999</v>
      </c>
      <c r="D198" s="2" t="str">
        <f t="shared" si="9"/>
        <v>07h</v>
      </c>
      <c r="E198" t="s">
        <v>26</v>
      </c>
      <c r="F198" t="str">
        <f>VLOOKUP(E198,dimensao_bairro!A:B,2,FALSE)</f>
        <v>Portão</v>
      </c>
      <c r="G198" t="s">
        <v>26</v>
      </c>
      <c r="H198" s="5">
        <v>9.4</v>
      </c>
      <c r="I198" s="5">
        <v>4.4000000000000004</v>
      </c>
      <c r="J198" t="str">
        <f t="shared" si="10"/>
        <v>Longa</v>
      </c>
      <c r="M198" t="str">
        <f>VLOOKUP(E198,dimensao_bairro!A:B,2,FALSE)</f>
        <v>Portão</v>
      </c>
      <c r="O198" t="str">
        <f>INDEX(dimensao_bairro!B:B,MATCH(tabela_origem!E198,dimensao_bairro!A:A,0))</f>
        <v>Portão</v>
      </c>
      <c r="P198" t="str">
        <f t="shared" si="11"/>
        <v>MÉDIO</v>
      </c>
    </row>
    <row r="199" spans="1:16" x14ac:dyDescent="0.25">
      <c r="A199" s="1">
        <v>46108</v>
      </c>
      <c r="B199" s="1" t="s">
        <v>42</v>
      </c>
      <c r="C199" s="2">
        <v>0.32013888888888892</v>
      </c>
      <c r="D199" s="2" t="str">
        <f t="shared" si="9"/>
        <v>07h</v>
      </c>
      <c r="E199" t="s">
        <v>5</v>
      </c>
      <c r="F199" t="str">
        <f>VLOOKUP(E199,dimensao_bairro!A:B,2,FALSE)</f>
        <v>Portão</v>
      </c>
      <c r="G199" t="s">
        <v>5</v>
      </c>
      <c r="H199" s="5">
        <v>8.1</v>
      </c>
      <c r="I199" s="5">
        <v>1.8</v>
      </c>
      <c r="J199" t="str">
        <f t="shared" si="10"/>
        <v>Curta</v>
      </c>
      <c r="M199" t="str">
        <f>VLOOKUP(E199,dimensao_bairro!A:B,2,FALSE)</f>
        <v>Portão</v>
      </c>
      <c r="O199" t="str">
        <f>INDEX(dimensao_bairro!B:B,MATCH(tabela_origem!E199,dimensao_bairro!A:A,0))</f>
        <v>Portão</v>
      </c>
      <c r="P199" t="str">
        <f t="shared" si="11"/>
        <v>MÉDIO</v>
      </c>
    </row>
    <row r="200" spans="1:16" x14ac:dyDescent="0.25">
      <c r="A200" s="1">
        <v>46108</v>
      </c>
      <c r="B200" s="1" t="s">
        <v>42</v>
      </c>
      <c r="C200" s="2">
        <v>0.4145833333333333</v>
      </c>
      <c r="D200" s="2" t="str">
        <f t="shared" si="9"/>
        <v>09h</v>
      </c>
      <c r="E200" t="s">
        <v>11</v>
      </c>
      <c r="F200" t="str">
        <f>VLOOKUP(E200,dimensao_bairro!A:B,2,FALSE)</f>
        <v>Boqueirão</v>
      </c>
      <c r="G200" t="s">
        <v>11</v>
      </c>
      <c r="H200" s="5">
        <v>7.5</v>
      </c>
      <c r="I200" s="5">
        <v>2.9</v>
      </c>
      <c r="J200" t="str">
        <f t="shared" si="10"/>
        <v>Média</v>
      </c>
      <c r="M200" t="str">
        <f>VLOOKUP(E200,dimensao_bairro!A:B,2,FALSE)</f>
        <v>Boqueirão</v>
      </c>
      <c r="O200" t="str">
        <f>INDEX(dimensao_bairro!B:B,MATCH(tabela_origem!E200,dimensao_bairro!A:A,0))</f>
        <v>Boqueirão</v>
      </c>
      <c r="P200" t="str">
        <f t="shared" si="11"/>
        <v>MÉDIO</v>
      </c>
    </row>
    <row r="201" spans="1:16" x14ac:dyDescent="0.25">
      <c r="A201" s="1">
        <v>46108</v>
      </c>
      <c r="B201" s="1" t="s">
        <v>42</v>
      </c>
      <c r="C201" s="2">
        <v>0.41041666666666665</v>
      </c>
      <c r="D201" s="2" t="str">
        <f t="shared" si="9"/>
        <v>09h</v>
      </c>
      <c r="E201" t="s">
        <v>11</v>
      </c>
      <c r="F201" t="str">
        <f>VLOOKUP(E201,dimensao_bairro!A:B,2,FALSE)</f>
        <v>Boqueirão</v>
      </c>
      <c r="G201" t="s">
        <v>15</v>
      </c>
      <c r="H201" s="5">
        <v>7.3</v>
      </c>
      <c r="I201" s="5">
        <v>1.1000000000000001</v>
      </c>
      <c r="J201" t="str">
        <f t="shared" si="10"/>
        <v>Curta</v>
      </c>
      <c r="M201" t="str">
        <f>VLOOKUP(E201,dimensao_bairro!A:B,2,FALSE)</f>
        <v>Boqueirão</v>
      </c>
      <c r="O201" t="str">
        <f>INDEX(dimensao_bairro!B:B,MATCH(tabela_origem!E201,dimensao_bairro!A:A,0))</f>
        <v>Boqueirão</v>
      </c>
      <c r="P201" t="str">
        <f t="shared" si="11"/>
        <v>MÉDIO</v>
      </c>
    </row>
    <row r="202" spans="1:16" x14ac:dyDescent="0.25">
      <c r="A202" s="1">
        <v>46108</v>
      </c>
      <c r="B202" s="1" t="s">
        <v>42</v>
      </c>
      <c r="C202" s="2">
        <v>0.36527777777777781</v>
      </c>
      <c r="D202" s="2" t="str">
        <f t="shared" si="9"/>
        <v>08h</v>
      </c>
      <c r="E202" t="s">
        <v>11</v>
      </c>
      <c r="F202" t="str">
        <f>VLOOKUP(E202,dimensao_bairro!A:B,2,FALSE)</f>
        <v>Boqueirão</v>
      </c>
      <c r="G202" t="s">
        <v>26</v>
      </c>
      <c r="H202" s="5">
        <v>6.9</v>
      </c>
      <c r="I202" s="5">
        <v>2.7</v>
      </c>
      <c r="J202" t="str">
        <f t="shared" si="10"/>
        <v>Média</v>
      </c>
      <c r="M202" t="str">
        <f>VLOOKUP(E202,dimensao_bairro!A:B,2,FALSE)</f>
        <v>Boqueirão</v>
      </c>
      <c r="O202" t="str">
        <f>INDEX(dimensao_bairro!B:B,MATCH(tabela_origem!E202,dimensao_bairro!A:A,0))</f>
        <v>Boqueirão</v>
      </c>
      <c r="P202" t="str">
        <f t="shared" si="11"/>
        <v>BAIXO</v>
      </c>
    </row>
    <row r="203" spans="1:16" x14ac:dyDescent="0.25">
      <c r="A203" s="1">
        <v>46108</v>
      </c>
      <c r="B203" s="1" t="s">
        <v>42</v>
      </c>
      <c r="C203" s="2">
        <v>0.3263888888888889</v>
      </c>
      <c r="D203" s="2" t="str">
        <f t="shared" si="9"/>
        <v>07h</v>
      </c>
      <c r="E203" t="s">
        <v>8</v>
      </c>
      <c r="F203" t="str">
        <f>VLOOKUP(E203,dimensao_bairro!A:B,2,FALSE)</f>
        <v>Portão</v>
      </c>
      <c r="G203" t="s">
        <v>15</v>
      </c>
      <c r="H203" s="5">
        <v>6.9</v>
      </c>
      <c r="I203" s="5">
        <v>2</v>
      </c>
      <c r="J203" t="str">
        <f t="shared" si="10"/>
        <v>Curta</v>
      </c>
      <c r="M203" t="str">
        <f>VLOOKUP(E203,dimensao_bairro!A:B,2,FALSE)</f>
        <v>Portão</v>
      </c>
      <c r="O203" t="str">
        <f>INDEX(dimensao_bairro!B:B,MATCH(tabela_origem!E203,dimensao_bairro!A:A,0))</f>
        <v>Portão</v>
      </c>
      <c r="P203" t="str">
        <f t="shared" si="11"/>
        <v>BAIXO</v>
      </c>
    </row>
    <row r="204" spans="1:16" x14ac:dyDescent="0.25">
      <c r="A204" s="1">
        <v>46108</v>
      </c>
      <c r="B204" s="1" t="s">
        <v>42</v>
      </c>
      <c r="C204" s="2">
        <v>0.34513888888888888</v>
      </c>
      <c r="D204" s="2" t="str">
        <f t="shared" si="9"/>
        <v>08h</v>
      </c>
      <c r="E204" t="s">
        <v>23</v>
      </c>
      <c r="F204" t="str">
        <f>VLOOKUP(E204,dimensao_bairro!A:B,2,FALSE)</f>
        <v>Boqueirão</v>
      </c>
      <c r="G204" t="s">
        <v>11</v>
      </c>
      <c r="H204" s="5">
        <v>6.6</v>
      </c>
      <c r="I204" s="5">
        <v>2.4</v>
      </c>
      <c r="J204" t="str">
        <f t="shared" si="10"/>
        <v>Média</v>
      </c>
      <c r="M204" t="str">
        <f>VLOOKUP(E204,dimensao_bairro!A:B,2,FALSE)</f>
        <v>Boqueirão</v>
      </c>
      <c r="O204" t="str">
        <f>INDEX(dimensao_bairro!B:B,MATCH(tabela_origem!E204,dimensao_bairro!A:A,0))</f>
        <v>Boqueirão</v>
      </c>
      <c r="P204" t="str">
        <f t="shared" si="11"/>
        <v>BAIXO</v>
      </c>
    </row>
    <row r="205" spans="1:16" x14ac:dyDescent="0.25">
      <c r="A205" s="1">
        <v>46108</v>
      </c>
      <c r="B205" s="1" t="s">
        <v>42</v>
      </c>
      <c r="C205" s="2">
        <v>0.38819444444444445</v>
      </c>
      <c r="D205" s="2" t="str">
        <f t="shared" si="9"/>
        <v>09h</v>
      </c>
      <c r="E205" t="s">
        <v>15</v>
      </c>
      <c r="F205" t="str">
        <f>VLOOKUP(E205,dimensao_bairro!A:B,2,FALSE)</f>
        <v>Boqueirão</v>
      </c>
      <c r="G205" t="s">
        <v>14</v>
      </c>
      <c r="H205" s="5">
        <v>6.5</v>
      </c>
      <c r="I205" s="5">
        <v>1.4</v>
      </c>
      <c r="J205" t="str">
        <f t="shared" si="10"/>
        <v>Curta</v>
      </c>
      <c r="M205" t="str">
        <f>VLOOKUP(E205,dimensao_bairro!A:B,2,FALSE)</f>
        <v>Boqueirão</v>
      </c>
      <c r="O205" t="str">
        <f>INDEX(dimensao_bairro!B:B,MATCH(tabela_origem!E205,dimensao_bairro!A:A,0))</f>
        <v>Boqueirão</v>
      </c>
      <c r="P205" t="str">
        <f t="shared" si="11"/>
        <v>BAIXO</v>
      </c>
    </row>
    <row r="206" spans="1:16" x14ac:dyDescent="0.25">
      <c r="A206" s="1">
        <v>46083</v>
      </c>
      <c r="B206" t="s">
        <v>7</v>
      </c>
      <c r="C206" s="2">
        <v>0.71736111111111101</v>
      </c>
      <c r="D206" s="2" t="str">
        <f t="shared" si="9"/>
        <v>17h</v>
      </c>
      <c r="E206" t="s">
        <v>13</v>
      </c>
      <c r="F206" t="str">
        <f>VLOOKUP(E206,dimensao_bairro!A:B,2,FALSE)</f>
        <v>Matriz</v>
      </c>
      <c r="G206" t="s">
        <v>10</v>
      </c>
      <c r="H206" s="5">
        <v>14.7</v>
      </c>
      <c r="I206" s="5">
        <v>5</v>
      </c>
      <c r="J206" t="str">
        <f t="shared" si="10"/>
        <v>Longa</v>
      </c>
      <c r="M206" t="str">
        <f>VLOOKUP(E206,dimensao_bairro!A:B,2,FALSE)</f>
        <v>Matriz</v>
      </c>
      <c r="O206" t="str">
        <f>INDEX(dimensao_bairro!B:B,MATCH(tabela_origem!E206,dimensao_bairro!A:A,0))</f>
        <v>Matriz</v>
      </c>
      <c r="P206" t="str">
        <f t="shared" si="11"/>
        <v>ALTO</v>
      </c>
    </row>
    <row r="207" spans="1:16" x14ac:dyDescent="0.25">
      <c r="A207" s="1">
        <v>46083</v>
      </c>
      <c r="B207" t="s">
        <v>7</v>
      </c>
      <c r="C207" s="2">
        <v>0.70347222222222217</v>
      </c>
      <c r="D207" s="2" t="str">
        <f t="shared" si="9"/>
        <v>16h</v>
      </c>
      <c r="E207" t="s">
        <v>10</v>
      </c>
      <c r="F207" t="str">
        <f>VLOOKUP(E207,dimensao_bairro!A:B,2,FALSE)</f>
        <v>Portão</v>
      </c>
      <c r="G207" t="s">
        <v>9</v>
      </c>
      <c r="H207" s="5">
        <v>14.39</v>
      </c>
      <c r="I207" s="5">
        <v>4.7</v>
      </c>
      <c r="J207" t="str">
        <f t="shared" si="10"/>
        <v>Longa</v>
      </c>
      <c r="M207" t="str">
        <f>VLOOKUP(E207,dimensao_bairro!A:B,2,FALSE)</f>
        <v>Portão</v>
      </c>
      <c r="O207" t="str">
        <f>INDEX(dimensao_bairro!B:B,MATCH(tabela_origem!E207,dimensao_bairro!A:A,0))</f>
        <v>Portão</v>
      </c>
      <c r="P207" t="str">
        <f t="shared" si="11"/>
        <v>ALTO</v>
      </c>
    </row>
    <row r="208" spans="1:16" x14ac:dyDescent="0.25">
      <c r="A208" s="1">
        <v>46083</v>
      </c>
      <c r="B208" t="s">
        <v>7</v>
      </c>
      <c r="C208" s="2">
        <v>0.81111111111111101</v>
      </c>
      <c r="D208" s="2" t="str">
        <f t="shared" si="9"/>
        <v>19h</v>
      </c>
      <c r="E208" t="s">
        <v>11</v>
      </c>
      <c r="F208" t="str">
        <f>VLOOKUP(E208,dimensao_bairro!A:B,2,FALSE)</f>
        <v>Boqueirão</v>
      </c>
      <c r="G208" t="s">
        <v>16</v>
      </c>
      <c r="H208" s="5">
        <v>12</v>
      </c>
      <c r="I208" s="5">
        <v>5.7</v>
      </c>
      <c r="J208" t="str">
        <f t="shared" si="10"/>
        <v>Longa</v>
      </c>
      <c r="M208" t="str">
        <f>VLOOKUP(E208,dimensao_bairro!A:B,2,FALSE)</f>
        <v>Boqueirão</v>
      </c>
      <c r="O208" t="str">
        <f>INDEX(dimensao_bairro!B:B,MATCH(tabela_origem!E208,dimensao_bairro!A:A,0))</f>
        <v>Boqueirão</v>
      </c>
      <c r="P208" t="str">
        <f t="shared" si="11"/>
        <v>ALTO</v>
      </c>
    </row>
    <row r="209" spans="1:16" x14ac:dyDescent="0.25">
      <c r="A209" s="1">
        <v>46083</v>
      </c>
      <c r="B209" t="s">
        <v>7</v>
      </c>
      <c r="C209" s="2">
        <v>0.74652777777777779</v>
      </c>
      <c r="D209" s="2" t="str">
        <f t="shared" si="9"/>
        <v>17h</v>
      </c>
      <c r="E209" t="s">
        <v>15</v>
      </c>
      <c r="F209" t="str">
        <f>VLOOKUP(E209,dimensao_bairro!A:B,2,FALSE)</f>
        <v>Boqueirão</v>
      </c>
      <c r="G209" t="s">
        <v>15</v>
      </c>
      <c r="H209" s="5">
        <v>11.5</v>
      </c>
      <c r="I209" s="5">
        <v>4.8</v>
      </c>
      <c r="J209" t="str">
        <f t="shared" si="10"/>
        <v>Longa</v>
      </c>
      <c r="M209" t="str">
        <f>VLOOKUP(E209,dimensao_bairro!A:B,2,FALSE)</f>
        <v>Boqueirão</v>
      </c>
      <c r="O209" t="str">
        <f>INDEX(dimensao_bairro!B:B,MATCH(tabela_origem!E209,dimensao_bairro!A:A,0))</f>
        <v>Boqueirão</v>
      </c>
      <c r="P209" t="str">
        <f t="shared" si="11"/>
        <v>ALTO</v>
      </c>
    </row>
    <row r="210" spans="1:16" x14ac:dyDescent="0.25">
      <c r="A210" s="1">
        <v>46083</v>
      </c>
      <c r="B210" t="s">
        <v>7</v>
      </c>
      <c r="C210" s="2">
        <v>0.80069444444444438</v>
      </c>
      <c r="D210" s="2" t="str">
        <f t="shared" si="9"/>
        <v>19h</v>
      </c>
      <c r="E210" t="s">
        <v>15</v>
      </c>
      <c r="F210" t="str">
        <f>VLOOKUP(E210,dimensao_bairro!A:B,2,FALSE)</f>
        <v>Boqueirão</v>
      </c>
      <c r="G210" t="s">
        <v>15</v>
      </c>
      <c r="H210" s="5">
        <v>9.3000000000000007</v>
      </c>
      <c r="I210" s="5">
        <v>4.5</v>
      </c>
      <c r="J210" t="str">
        <f t="shared" si="10"/>
        <v>Longa</v>
      </c>
      <c r="M210" t="str">
        <f>VLOOKUP(E210,dimensao_bairro!A:B,2,FALSE)</f>
        <v>Boqueirão</v>
      </c>
      <c r="O210" t="str">
        <f>INDEX(dimensao_bairro!B:B,MATCH(tabela_origem!E210,dimensao_bairro!A:A,0))</f>
        <v>Boqueirão</v>
      </c>
      <c r="P210" t="str">
        <f t="shared" si="11"/>
        <v>MÉDIO</v>
      </c>
    </row>
    <row r="211" spans="1:16" x14ac:dyDescent="0.25">
      <c r="A211" s="1">
        <v>46083</v>
      </c>
      <c r="B211" t="s">
        <v>7</v>
      </c>
      <c r="C211" s="2">
        <v>0.73541666666666661</v>
      </c>
      <c r="D211" s="2" t="str">
        <f t="shared" si="9"/>
        <v>17h</v>
      </c>
      <c r="E211" t="s">
        <v>15</v>
      </c>
      <c r="F211" t="str">
        <f>VLOOKUP(E211,dimensao_bairro!A:B,2,FALSE)</f>
        <v>Boqueirão</v>
      </c>
      <c r="G211" t="s">
        <v>11</v>
      </c>
      <c r="H211" s="5">
        <v>8.8000000000000007</v>
      </c>
      <c r="I211" s="5">
        <v>3.3</v>
      </c>
      <c r="J211" t="str">
        <f t="shared" si="10"/>
        <v>Média</v>
      </c>
      <c r="M211" t="str">
        <f>VLOOKUP(E211,dimensao_bairro!A:B,2,FALSE)</f>
        <v>Boqueirão</v>
      </c>
      <c r="O211" t="str">
        <f>INDEX(dimensao_bairro!B:B,MATCH(tabela_origem!E211,dimensao_bairro!A:A,0))</f>
        <v>Boqueirão</v>
      </c>
      <c r="P211" t="str">
        <f t="shared" si="11"/>
        <v>MÉDIO</v>
      </c>
    </row>
    <row r="212" spans="1:16" x14ac:dyDescent="0.25">
      <c r="A212" s="1">
        <v>46083</v>
      </c>
      <c r="B212" t="s">
        <v>7</v>
      </c>
      <c r="C212" s="2">
        <v>0.69305555555555554</v>
      </c>
      <c r="D212" s="2" t="str">
        <f t="shared" si="9"/>
        <v>16h</v>
      </c>
      <c r="E212" t="s">
        <v>11</v>
      </c>
      <c r="F212" t="str">
        <f>VLOOKUP(E212,dimensao_bairro!A:B,2,FALSE)</f>
        <v>Boqueirão</v>
      </c>
      <c r="G212" t="s">
        <v>15</v>
      </c>
      <c r="H212" s="5">
        <v>8.1199999999999992</v>
      </c>
      <c r="I212" s="5">
        <v>2</v>
      </c>
      <c r="J212" t="str">
        <f t="shared" si="10"/>
        <v>Curta</v>
      </c>
      <c r="M212" t="str">
        <f>VLOOKUP(E212,dimensao_bairro!A:B,2,FALSE)</f>
        <v>Boqueirão</v>
      </c>
      <c r="O212" t="str">
        <f>INDEX(dimensao_bairro!B:B,MATCH(tabela_origem!E212,dimensao_bairro!A:A,0))</f>
        <v>Boqueirão</v>
      </c>
      <c r="P212" t="str">
        <f t="shared" si="11"/>
        <v>MÉDIO</v>
      </c>
    </row>
    <row r="213" spans="1:16" x14ac:dyDescent="0.25">
      <c r="A213" s="1">
        <v>46083</v>
      </c>
      <c r="B213" t="s">
        <v>7</v>
      </c>
      <c r="C213" s="2">
        <v>0.7284722222222223</v>
      </c>
      <c r="D213" s="2" t="str">
        <f t="shared" si="9"/>
        <v>17h</v>
      </c>
      <c r="E213" t="s">
        <v>14</v>
      </c>
      <c r="F213" t="str">
        <f>VLOOKUP(E213,dimensao_bairro!A:B,2,FALSE)</f>
        <v>Cajuru</v>
      </c>
      <c r="G213" t="s">
        <v>10</v>
      </c>
      <c r="H213" s="5">
        <v>7.9</v>
      </c>
      <c r="I213" s="5">
        <v>2.4</v>
      </c>
      <c r="J213" t="str">
        <f t="shared" si="10"/>
        <v>Média</v>
      </c>
      <c r="M213" t="str">
        <f>VLOOKUP(E213,dimensao_bairro!A:B,2,FALSE)</f>
        <v>Cajuru</v>
      </c>
      <c r="O213" t="str">
        <f>INDEX(dimensao_bairro!B:B,MATCH(tabela_origem!E213,dimensao_bairro!A:A,0))</f>
        <v>Cajuru</v>
      </c>
      <c r="P213" t="str">
        <f t="shared" si="11"/>
        <v>MÉDIO</v>
      </c>
    </row>
    <row r="214" spans="1:16" x14ac:dyDescent="0.25">
      <c r="A214" s="1">
        <v>46083</v>
      </c>
      <c r="B214" t="s">
        <v>7</v>
      </c>
      <c r="C214" s="2">
        <v>0.69930555555555562</v>
      </c>
      <c r="D214" s="2" t="str">
        <f t="shared" si="9"/>
        <v>16h</v>
      </c>
      <c r="E214" t="s">
        <v>12</v>
      </c>
      <c r="F214" t="str">
        <f>VLOOKUP(E214,dimensao_bairro!A:B,2,FALSE)</f>
        <v>Portão</v>
      </c>
      <c r="G214" t="s">
        <v>16</v>
      </c>
      <c r="H214" s="5">
        <v>6.9</v>
      </c>
      <c r="I214" s="5">
        <v>1.3</v>
      </c>
      <c r="J214" t="str">
        <f t="shared" si="10"/>
        <v>Curta</v>
      </c>
      <c r="M214" t="str">
        <f>VLOOKUP(E214,dimensao_bairro!A:B,2,FALSE)</f>
        <v>Portão</v>
      </c>
      <c r="O214" t="str">
        <f>INDEX(dimensao_bairro!B:B,MATCH(tabela_origem!E214,dimensao_bairro!A:A,0))</f>
        <v>Portão</v>
      </c>
      <c r="P214" t="str">
        <f t="shared" si="11"/>
        <v>BAIXO</v>
      </c>
    </row>
    <row r="215" spans="1:16" x14ac:dyDescent="0.25">
      <c r="A215" s="1">
        <v>46083</v>
      </c>
      <c r="B215" t="s">
        <v>7</v>
      </c>
      <c r="C215" s="2">
        <v>0.77361111111111114</v>
      </c>
      <c r="D215" s="2" t="str">
        <f t="shared" si="9"/>
        <v>18h</v>
      </c>
      <c r="E215" t="s">
        <v>16</v>
      </c>
      <c r="F215" t="str">
        <f>VLOOKUP(E215,dimensao_bairro!A:B,2,FALSE)</f>
        <v>Bairro Novo</v>
      </c>
      <c r="G215" t="s">
        <v>5</v>
      </c>
      <c r="H215" s="5">
        <v>6.7</v>
      </c>
      <c r="I215" s="5">
        <v>1.2</v>
      </c>
      <c r="J215" t="str">
        <f t="shared" si="10"/>
        <v>Curta</v>
      </c>
      <c r="M215" t="str">
        <f>VLOOKUP(E215,dimensao_bairro!A:B,2,FALSE)</f>
        <v>Bairro Novo</v>
      </c>
      <c r="O215" t="str">
        <f>INDEX(dimensao_bairro!B:B,MATCH(tabela_origem!E215,dimensao_bairro!A:A,0))</f>
        <v>Bairro Novo</v>
      </c>
      <c r="P215" t="str">
        <f t="shared" si="11"/>
        <v>BAIXO</v>
      </c>
    </row>
    <row r="216" spans="1:16" x14ac:dyDescent="0.25">
      <c r="A216" s="1">
        <v>46083</v>
      </c>
      <c r="B216" t="s">
        <v>7</v>
      </c>
      <c r="C216" s="2">
        <v>0.65416666666666667</v>
      </c>
      <c r="D216" s="2" t="str">
        <f t="shared" si="9"/>
        <v>15h</v>
      </c>
      <c r="E216" t="s">
        <v>9</v>
      </c>
      <c r="F216" t="str">
        <f>VLOOKUP(E216,dimensao_bairro!A:B,2,FALSE)</f>
        <v>Portão</v>
      </c>
      <c r="G216" t="s">
        <v>5</v>
      </c>
      <c r="H216" s="5">
        <v>6.6</v>
      </c>
      <c r="I216" s="5">
        <v>0.8</v>
      </c>
      <c r="J216" t="str">
        <f t="shared" si="10"/>
        <v>Curta</v>
      </c>
      <c r="M216" t="str">
        <f>VLOOKUP(E216,dimensao_bairro!A:B,2,FALSE)</f>
        <v>Portão</v>
      </c>
      <c r="O216" t="str">
        <f>INDEX(dimensao_bairro!B:B,MATCH(tabela_origem!E216,dimensao_bairro!A:A,0))</f>
        <v>Portão</v>
      </c>
      <c r="P216" t="str">
        <f t="shared" si="11"/>
        <v>BAIXO</v>
      </c>
    </row>
    <row r="217" spans="1:16" x14ac:dyDescent="0.25">
      <c r="A217" s="1">
        <v>46083</v>
      </c>
      <c r="B217" t="s">
        <v>7</v>
      </c>
      <c r="C217" s="2">
        <v>0.64583333333333337</v>
      </c>
      <c r="D217" s="2" t="str">
        <f t="shared" si="9"/>
        <v>15h</v>
      </c>
      <c r="E217" t="s">
        <v>8</v>
      </c>
      <c r="F217" t="str">
        <f>VLOOKUP(E217,dimensao_bairro!A:B,2,FALSE)</f>
        <v>Portão</v>
      </c>
      <c r="G217" t="s">
        <v>10</v>
      </c>
      <c r="H217" s="5">
        <v>6.6</v>
      </c>
      <c r="I217" s="5">
        <v>1.1000000000000001</v>
      </c>
      <c r="J217" t="str">
        <f t="shared" si="10"/>
        <v>Curta</v>
      </c>
      <c r="M217" t="str">
        <f>VLOOKUP(E217,dimensao_bairro!A:B,2,FALSE)</f>
        <v>Portão</v>
      </c>
      <c r="O217" t="str">
        <f>INDEX(dimensao_bairro!B:B,MATCH(tabela_origem!E217,dimensao_bairro!A:A,0))</f>
        <v>Portão</v>
      </c>
      <c r="P217" t="str">
        <f t="shared" si="11"/>
        <v>BAIXO</v>
      </c>
    </row>
    <row r="218" spans="1:16" x14ac:dyDescent="0.25">
      <c r="A218" s="1">
        <v>46083</v>
      </c>
      <c r="B218" t="s">
        <v>7</v>
      </c>
      <c r="C218" s="2">
        <v>0.67291666666666661</v>
      </c>
      <c r="D218" s="2" t="str">
        <f t="shared" si="9"/>
        <v>16h</v>
      </c>
      <c r="E218" t="s">
        <v>10</v>
      </c>
      <c r="F218" t="str">
        <f>VLOOKUP(E218,dimensao_bairro!A:B,2,FALSE)</f>
        <v>Portão</v>
      </c>
      <c r="G218" t="s">
        <v>16</v>
      </c>
      <c r="H218" s="5">
        <v>6.6</v>
      </c>
      <c r="I218" s="5">
        <v>1.5</v>
      </c>
      <c r="J218" t="str">
        <f t="shared" si="10"/>
        <v>Curta</v>
      </c>
      <c r="M218" t="str">
        <f>VLOOKUP(E218,dimensao_bairro!A:B,2,FALSE)</f>
        <v>Portão</v>
      </c>
      <c r="O218" t="str">
        <f>INDEX(dimensao_bairro!B:B,MATCH(tabela_origem!E218,dimensao_bairro!A:A,0))</f>
        <v>Portão</v>
      </c>
      <c r="P218" t="str">
        <f t="shared" si="11"/>
        <v>BAIXO</v>
      </c>
    </row>
    <row r="219" spans="1:16" x14ac:dyDescent="0.25">
      <c r="A219" s="1">
        <v>46083</v>
      </c>
      <c r="B219" t="s">
        <v>7</v>
      </c>
      <c r="C219" s="2">
        <v>0.78333333333333333</v>
      </c>
      <c r="D219" s="2" t="str">
        <f t="shared" si="9"/>
        <v>18h</v>
      </c>
      <c r="E219" t="s">
        <v>16</v>
      </c>
      <c r="F219" t="str">
        <f>VLOOKUP(E219,dimensao_bairro!A:B,2,FALSE)</f>
        <v>Bairro Novo</v>
      </c>
      <c r="G219" t="s">
        <v>5</v>
      </c>
      <c r="H219" s="5">
        <v>6.6</v>
      </c>
      <c r="I219" s="5">
        <v>1.7</v>
      </c>
      <c r="J219" t="str">
        <f t="shared" si="10"/>
        <v>Curta</v>
      </c>
      <c r="M219" t="str">
        <f>VLOOKUP(E219,dimensao_bairro!A:B,2,FALSE)</f>
        <v>Bairro Novo</v>
      </c>
      <c r="O219" t="str">
        <f>INDEX(dimensao_bairro!B:B,MATCH(tabela_origem!E219,dimensao_bairro!A:A,0))</f>
        <v>Bairro Novo</v>
      </c>
      <c r="P219" t="str">
        <f t="shared" si="11"/>
        <v>BAIXO</v>
      </c>
    </row>
    <row r="220" spans="1:16" x14ac:dyDescent="0.25">
      <c r="A220" s="1">
        <v>46083</v>
      </c>
      <c r="B220" t="s">
        <v>7</v>
      </c>
      <c r="C220" s="2">
        <v>0.8256944444444444</v>
      </c>
      <c r="D220" s="2" t="str">
        <f t="shared" si="9"/>
        <v>19h</v>
      </c>
      <c r="E220" t="s">
        <v>9</v>
      </c>
      <c r="F220" t="str">
        <f>VLOOKUP(E220,dimensao_bairro!A:B,2,FALSE)</f>
        <v>Portão</v>
      </c>
      <c r="G220" t="s">
        <v>15</v>
      </c>
      <c r="H220" s="5">
        <v>6.5</v>
      </c>
      <c r="I220" s="5">
        <v>2.2000000000000002</v>
      </c>
      <c r="J220" t="str">
        <f t="shared" si="10"/>
        <v>Média</v>
      </c>
      <c r="M220" t="str">
        <f>VLOOKUP(E220,dimensao_bairro!A:B,2,FALSE)</f>
        <v>Portão</v>
      </c>
      <c r="O220" t="str">
        <f>INDEX(dimensao_bairro!B:B,MATCH(tabela_origem!E220,dimensao_bairro!A:A,0))</f>
        <v>Portão</v>
      </c>
      <c r="P220" t="str">
        <f t="shared" si="11"/>
        <v>BAIXO</v>
      </c>
    </row>
    <row r="221" spans="1:16" x14ac:dyDescent="0.25">
      <c r="A221" s="1">
        <v>46083</v>
      </c>
      <c r="B221" t="s">
        <v>7</v>
      </c>
      <c r="C221" s="2">
        <v>0.79166666666666663</v>
      </c>
      <c r="D221" s="2" t="str">
        <f t="shared" si="9"/>
        <v>19h</v>
      </c>
      <c r="E221" t="s">
        <v>17</v>
      </c>
      <c r="F221" t="str">
        <f>VLOOKUP(E221,dimensao_bairro!A:B,2,FALSE)</f>
        <v>Boqueirão</v>
      </c>
      <c r="G221" t="s">
        <v>6</v>
      </c>
      <c r="H221" s="5">
        <v>6.5</v>
      </c>
      <c r="I221" s="5">
        <v>2.2999999999999998</v>
      </c>
      <c r="J221" t="str">
        <f t="shared" si="10"/>
        <v>Média</v>
      </c>
      <c r="M221" t="str">
        <f>VLOOKUP(E221,dimensao_bairro!A:B,2,FALSE)</f>
        <v>Boqueirão</v>
      </c>
      <c r="O221" t="str">
        <f>INDEX(dimensao_bairro!B:B,MATCH(tabela_origem!E221,dimensao_bairro!A:A,0))</f>
        <v>Boqueirão</v>
      </c>
      <c r="P221" t="str">
        <f t="shared" si="11"/>
        <v>BAIXO</v>
      </c>
    </row>
    <row r="222" spans="1:16" x14ac:dyDescent="0.25">
      <c r="A222" s="1">
        <v>46083</v>
      </c>
      <c r="B222" t="s">
        <v>7</v>
      </c>
      <c r="C222" s="2">
        <v>0.62847222222222221</v>
      </c>
      <c r="D222" s="2" t="str">
        <f t="shared" si="9"/>
        <v>15h</v>
      </c>
      <c r="E222" t="s">
        <v>5</v>
      </c>
      <c r="F222" t="str">
        <f>VLOOKUP(E222,dimensao_bairro!A:B,2,FALSE)</f>
        <v>Portão</v>
      </c>
      <c r="G222" t="s">
        <v>8</v>
      </c>
      <c r="H222" s="5">
        <v>6.5</v>
      </c>
      <c r="I222" s="5">
        <v>1.2</v>
      </c>
      <c r="J222" t="str">
        <f t="shared" si="10"/>
        <v>Curta</v>
      </c>
      <c r="M222" t="str">
        <f>VLOOKUP(E222,dimensao_bairro!A:B,2,FALSE)</f>
        <v>Portão</v>
      </c>
      <c r="O222" t="str">
        <f>INDEX(dimensao_bairro!B:B,MATCH(tabela_origem!E222,dimensao_bairro!A:A,0))</f>
        <v>Portão</v>
      </c>
      <c r="P222" t="str">
        <f t="shared" si="11"/>
        <v>BAIXO</v>
      </c>
    </row>
    <row r="223" spans="1:16" x14ac:dyDescent="0.25">
      <c r="A223" s="1">
        <v>46083</v>
      </c>
      <c r="B223" t="s">
        <v>7</v>
      </c>
      <c r="C223" s="2">
        <v>0.82986111111111116</v>
      </c>
      <c r="D223" s="2" t="str">
        <f t="shared" si="9"/>
        <v>19h</v>
      </c>
      <c r="E223" t="s">
        <v>5</v>
      </c>
      <c r="F223" t="str">
        <f>VLOOKUP(E223,dimensao_bairro!A:B,2,FALSE)</f>
        <v>Portão</v>
      </c>
      <c r="G223" t="s">
        <v>8</v>
      </c>
      <c r="H223" s="5">
        <v>6.5</v>
      </c>
      <c r="I223" s="5">
        <v>1.9</v>
      </c>
      <c r="J223" t="str">
        <f t="shared" si="10"/>
        <v>Curta</v>
      </c>
      <c r="M223" t="str">
        <f>VLOOKUP(E223,dimensao_bairro!A:B,2,FALSE)</f>
        <v>Portão</v>
      </c>
      <c r="O223" t="str">
        <f>INDEX(dimensao_bairro!B:B,MATCH(tabela_origem!E223,dimensao_bairro!A:A,0))</f>
        <v>Portão</v>
      </c>
      <c r="P223" t="str">
        <f t="shared" si="11"/>
        <v>BAIXO</v>
      </c>
    </row>
    <row r="224" spans="1:16" x14ac:dyDescent="0.25">
      <c r="A224" s="1">
        <v>46083</v>
      </c>
      <c r="B224" t="s">
        <v>7</v>
      </c>
      <c r="C224" s="2">
        <v>0.63263888888888886</v>
      </c>
      <c r="D224" s="2" t="str">
        <f t="shared" si="9"/>
        <v>15h</v>
      </c>
      <c r="E224" t="s">
        <v>6</v>
      </c>
      <c r="F224" t="str">
        <f>VLOOKUP(E224,dimensao_bairro!A:B,2,FALSE)</f>
        <v>Portão</v>
      </c>
      <c r="G224" t="s">
        <v>16</v>
      </c>
      <c r="H224" s="5">
        <v>6.5</v>
      </c>
      <c r="I224" s="5">
        <v>2.2000000000000002</v>
      </c>
      <c r="J224" t="str">
        <f t="shared" si="10"/>
        <v>Média</v>
      </c>
      <c r="M224" t="str">
        <f>VLOOKUP(E224,dimensao_bairro!A:B,2,FALSE)</f>
        <v>Portão</v>
      </c>
      <c r="O224" t="str">
        <f>INDEX(dimensao_bairro!B:B,MATCH(tabela_origem!E224,dimensao_bairro!A:A,0))</f>
        <v>Portão</v>
      </c>
      <c r="P224" t="str">
        <f t="shared" si="11"/>
        <v>BAIXO</v>
      </c>
    </row>
    <row r="225" spans="1:16" x14ac:dyDescent="0.25">
      <c r="A225" s="1">
        <v>46083</v>
      </c>
      <c r="B225" t="s">
        <v>7</v>
      </c>
      <c r="C225" s="2">
        <v>0.76111111111111107</v>
      </c>
      <c r="D225" s="2" t="str">
        <f t="shared" si="9"/>
        <v>18h</v>
      </c>
      <c r="E225" t="s">
        <v>16</v>
      </c>
      <c r="F225" t="str">
        <f>VLOOKUP(E225,dimensao_bairro!A:B,2,FALSE)</f>
        <v>Bairro Novo</v>
      </c>
      <c r="G225" t="s">
        <v>16</v>
      </c>
      <c r="H225" s="5">
        <v>6.5</v>
      </c>
      <c r="I225" s="5">
        <v>2</v>
      </c>
      <c r="J225" t="str">
        <f t="shared" si="10"/>
        <v>Curta</v>
      </c>
      <c r="M225" t="str">
        <f>VLOOKUP(E225,dimensao_bairro!A:B,2,FALSE)</f>
        <v>Bairro Novo</v>
      </c>
      <c r="O225" t="str">
        <f>INDEX(dimensao_bairro!B:B,MATCH(tabela_origem!E225,dimensao_bairro!A:A,0))</f>
        <v>Bairro Novo</v>
      </c>
      <c r="P225" t="str">
        <f t="shared" si="11"/>
        <v>BAIXO</v>
      </c>
    </row>
    <row r="226" spans="1:16" x14ac:dyDescent="0.25">
      <c r="A226" s="1">
        <v>46083</v>
      </c>
      <c r="B226" t="s">
        <v>7</v>
      </c>
      <c r="C226" s="2">
        <v>0.76944444444444438</v>
      </c>
      <c r="D226" s="2" t="str">
        <f t="shared" si="9"/>
        <v>18h</v>
      </c>
      <c r="E226" t="s">
        <v>16</v>
      </c>
      <c r="F226" t="str">
        <f>VLOOKUP(E226,dimensao_bairro!A:B,2,FALSE)</f>
        <v>Bairro Novo</v>
      </c>
      <c r="G226" t="s">
        <v>17</v>
      </c>
      <c r="H226" s="5">
        <v>6.5</v>
      </c>
      <c r="I226" s="5">
        <v>2.1</v>
      </c>
      <c r="J226" t="str">
        <f t="shared" si="10"/>
        <v>Média</v>
      </c>
      <c r="M226" t="str">
        <f>VLOOKUP(E226,dimensao_bairro!A:B,2,FALSE)</f>
        <v>Bairro Novo</v>
      </c>
      <c r="O226" t="str">
        <f>INDEX(dimensao_bairro!B:B,MATCH(tabela_origem!E226,dimensao_bairro!A:A,0))</f>
        <v>Bairro Novo</v>
      </c>
      <c r="P226" t="str">
        <f t="shared" si="11"/>
        <v>BAIXO</v>
      </c>
    </row>
    <row r="227" spans="1:16" x14ac:dyDescent="0.25">
      <c r="A227" s="1">
        <v>46083</v>
      </c>
      <c r="B227" t="s">
        <v>7</v>
      </c>
      <c r="C227" s="2">
        <v>0.79027777777777775</v>
      </c>
      <c r="D227" s="2" t="str">
        <f t="shared" si="9"/>
        <v>18h</v>
      </c>
      <c r="E227" t="s">
        <v>16</v>
      </c>
      <c r="F227" t="str">
        <f>VLOOKUP(E227,dimensao_bairro!A:B,2,FALSE)</f>
        <v>Bairro Novo</v>
      </c>
      <c r="G227" t="s">
        <v>5</v>
      </c>
      <c r="H227" s="5">
        <v>6.5</v>
      </c>
      <c r="I227" s="5">
        <v>1.8</v>
      </c>
      <c r="J227" t="str">
        <f t="shared" si="10"/>
        <v>Curta</v>
      </c>
      <c r="M227" t="str">
        <f>VLOOKUP(E227,dimensao_bairro!A:B,2,FALSE)</f>
        <v>Bairro Novo</v>
      </c>
      <c r="O227" t="str">
        <f>INDEX(dimensao_bairro!B:B,MATCH(tabela_origem!E227,dimensao_bairro!A:A,0))</f>
        <v>Bairro Novo</v>
      </c>
      <c r="P227" t="str">
        <f t="shared" si="11"/>
        <v>BAIXO</v>
      </c>
    </row>
    <row r="228" spans="1:16" x14ac:dyDescent="0.25">
      <c r="A228" s="1">
        <v>46084</v>
      </c>
      <c r="B228" t="s">
        <v>7</v>
      </c>
      <c r="C228" s="2">
        <v>0.69861111111111107</v>
      </c>
      <c r="D228" s="2" t="str">
        <f t="shared" si="9"/>
        <v>16h</v>
      </c>
      <c r="E228" t="s">
        <v>13</v>
      </c>
      <c r="F228" t="str">
        <f>VLOOKUP(E228,dimensao_bairro!A:B,2,FALSE)</f>
        <v>Matriz</v>
      </c>
      <c r="G228" t="s">
        <v>15</v>
      </c>
      <c r="H228" s="5">
        <v>22.5</v>
      </c>
      <c r="I228" s="5">
        <v>6.4</v>
      </c>
      <c r="J228" t="str">
        <f t="shared" si="10"/>
        <v>Longa</v>
      </c>
      <c r="M228" t="str">
        <f>VLOOKUP(E228,dimensao_bairro!A:B,2,FALSE)</f>
        <v>Matriz</v>
      </c>
      <c r="O228" t="str">
        <f>INDEX(dimensao_bairro!B:B,MATCH(tabela_origem!E228,dimensao_bairro!A:A,0))</f>
        <v>Matriz</v>
      </c>
      <c r="P228" t="str">
        <f t="shared" si="11"/>
        <v>ALTO</v>
      </c>
    </row>
    <row r="229" spans="1:16" x14ac:dyDescent="0.25">
      <c r="A229" s="1">
        <v>46084</v>
      </c>
      <c r="B229" t="s">
        <v>7</v>
      </c>
      <c r="C229" s="2">
        <v>0.72361111111111109</v>
      </c>
      <c r="D229" s="2" t="str">
        <f t="shared" si="9"/>
        <v>17h</v>
      </c>
      <c r="E229" t="s">
        <v>5</v>
      </c>
      <c r="F229" t="str">
        <f>VLOOKUP(E229,dimensao_bairro!A:B,2,FALSE)</f>
        <v>Portão</v>
      </c>
      <c r="G229" t="s">
        <v>15</v>
      </c>
      <c r="H229" s="5">
        <v>11.6</v>
      </c>
      <c r="I229" s="5">
        <v>5.0999999999999996</v>
      </c>
      <c r="J229" t="str">
        <f t="shared" si="10"/>
        <v>Longa</v>
      </c>
      <c r="M229" t="str">
        <f>VLOOKUP(E229,dimensao_bairro!A:B,2,FALSE)</f>
        <v>Portão</v>
      </c>
      <c r="O229" t="str">
        <f>INDEX(dimensao_bairro!B:B,MATCH(tabela_origem!E229,dimensao_bairro!A:A,0))</f>
        <v>Portão</v>
      </c>
      <c r="P229" t="str">
        <f t="shared" si="11"/>
        <v>ALTO</v>
      </c>
    </row>
    <row r="230" spans="1:16" x14ac:dyDescent="0.25">
      <c r="A230" s="1">
        <v>46084</v>
      </c>
      <c r="B230" t="s">
        <v>7</v>
      </c>
      <c r="C230" s="2">
        <v>0.79375000000000007</v>
      </c>
      <c r="D230" s="2" t="str">
        <f t="shared" si="9"/>
        <v>19h</v>
      </c>
      <c r="E230" t="s">
        <v>16</v>
      </c>
      <c r="F230" t="str">
        <f>VLOOKUP(E230,dimensao_bairro!A:B,2,FALSE)</f>
        <v>Bairro Novo</v>
      </c>
      <c r="G230" t="s">
        <v>5</v>
      </c>
      <c r="H230" s="5">
        <v>10.7</v>
      </c>
      <c r="I230" s="5">
        <v>6</v>
      </c>
      <c r="J230" t="str">
        <f t="shared" si="10"/>
        <v>Longa</v>
      </c>
      <c r="M230" t="str">
        <f>VLOOKUP(E230,dimensao_bairro!A:B,2,FALSE)</f>
        <v>Bairro Novo</v>
      </c>
      <c r="O230" t="str">
        <f>INDEX(dimensao_bairro!B:B,MATCH(tabela_origem!E230,dimensao_bairro!A:A,0))</f>
        <v>Bairro Novo</v>
      </c>
      <c r="P230" t="str">
        <f t="shared" si="11"/>
        <v>ALTO</v>
      </c>
    </row>
    <row r="231" spans="1:16" x14ac:dyDescent="0.25">
      <c r="A231" s="1">
        <v>46084</v>
      </c>
      <c r="B231" t="s">
        <v>7</v>
      </c>
      <c r="C231" s="2">
        <v>0.71666666666666667</v>
      </c>
      <c r="D231" s="2" t="str">
        <f t="shared" si="9"/>
        <v>17h</v>
      </c>
      <c r="E231" t="s">
        <v>5</v>
      </c>
      <c r="F231" t="str">
        <f>VLOOKUP(E231,dimensao_bairro!A:B,2,FALSE)</f>
        <v>Portão</v>
      </c>
      <c r="G231" t="s">
        <v>23</v>
      </c>
      <c r="H231" s="5">
        <v>9.5</v>
      </c>
      <c r="I231" s="5">
        <v>3.5</v>
      </c>
      <c r="J231" t="str">
        <f t="shared" si="10"/>
        <v>Média</v>
      </c>
      <c r="M231" t="str">
        <f>VLOOKUP(E231,dimensao_bairro!A:B,2,FALSE)</f>
        <v>Portão</v>
      </c>
      <c r="O231" t="str">
        <f>INDEX(dimensao_bairro!B:B,MATCH(tabela_origem!E231,dimensao_bairro!A:A,0))</f>
        <v>Portão</v>
      </c>
      <c r="P231" t="str">
        <f t="shared" si="11"/>
        <v>MÉDIO</v>
      </c>
    </row>
    <row r="232" spans="1:16" x14ac:dyDescent="0.25">
      <c r="A232" s="1">
        <v>46084</v>
      </c>
      <c r="B232" t="s">
        <v>7</v>
      </c>
      <c r="C232" s="2">
        <v>0.76111111111111107</v>
      </c>
      <c r="D232" s="2" t="str">
        <f t="shared" si="9"/>
        <v>18h</v>
      </c>
      <c r="E232" t="s">
        <v>15</v>
      </c>
      <c r="F232" t="str">
        <f>VLOOKUP(E232,dimensao_bairro!A:B,2,FALSE)</f>
        <v>Boqueirão</v>
      </c>
      <c r="G232" t="s">
        <v>21</v>
      </c>
      <c r="H232" s="5">
        <v>9.4</v>
      </c>
      <c r="I232" s="5">
        <v>2.9</v>
      </c>
      <c r="J232" t="str">
        <f t="shared" si="10"/>
        <v>Média</v>
      </c>
      <c r="M232" t="str">
        <f>VLOOKUP(E232,dimensao_bairro!A:B,2,FALSE)</f>
        <v>Boqueirão</v>
      </c>
      <c r="O232" t="str">
        <f>INDEX(dimensao_bairro!B:B,MATCH(tabela_origem!E232,dimensao_bairro!A:A,0))</f>
        <v>Boqueirão</v>
      </c>
      <c r="P232" t="str">
        <f t="shared" si="11"/>
        <v>MÉDIO</v>
      </c>
    </row>
    <row r="233" spans="1:16" x14ac:dyDescent="0.25">
      <c r="A233" s="1">
        <v>46084</v>
      </c>
      <c r="B233" t="s">
        <v>7</v>
      </c>
      <c r="C233" s="2">
        <v>0.66597222222222219</v>
      </c>
      <c r="D233" s="2" t="str">
        <f t="shared" si="9"/>
        <v>15h</v>
      </c>
      <c r="E233" t="s">
        <v>13</v>
      </c>
      <c r="F233" t="str">
        <f>VLOOKUP(E233,dimensao_bairro!A:B,2,FALSE)</f>
        <v>Matriz</v>
      </c>
      <c r="G233" t="s">
        <v>22</v>
      </c>
      <c r="H233" s="5">
        <v>8.9</v>
      </c>
      <c r="I233" s="5">
        <v>3</v>
      </c>
      <c r="J233" t="str">
        <f t="shared" si="10"/>
        <v>Média</v>
      </c>
      <c r="M233" t="str">
        <f>VLOOKUP(E233,dimensao_bairro!A:B,2,FALSE)</f>
        <v>Matriz</v>
      </c>
      <c r="O233" t="str">
        <f>INDEX(dimensao_bairro!B:B,MATCH(tabela_origem!E233,dimensao_bairro!A:A,0))</f>
        <v>Matriz</v>
      </c>
      <c r="P233" t="str">
        <f t="shared" si="11"/>
        <v>MÉDIO</v>
      </c>
    </row>
    <row r="234" spans="1:16" x14ac:dyDescent="0.25">
      <c r="A234" s="1">
        <v>46084</v>
      </c>
      <c r="B234" t="s">
        <v>7</v>
      </c>
      <c r="C234" s="2">
        <v>0.67847222222222225</v>
      </c>
      <c r="D234" s="2" t="str">
        <f t="shared" si="9"/>
        <v>16h</v>
      </c>
      <c r="E234" t="s">
        <v>21</v>
      </c>
      <c r="F234" t="str">
        <f>VLOOKUP(E234,dimensao_bairro!A:B,2,FALSE)</f>
        <v>Matriz</v>
      </c>
      <c r="G234" t="s">
        <v>24</v>
      </c>
      <c r="H234" s="5">
        <v>8.4</v>
      </c>
      <c r="I234" s="5">
        <v>0.9</v>
      </c>
      <c r="J234" t="str">
        <f t="shared" si="10"/>
        <v>Curta</v>
      </c>
      <c r="M234" t="str">
        <f>VLOOKUP(E234,dimensao_bairro!A:B,2,FALSE)</f>
        <v>Matriz</v>
      </c>
      <c r="O234" t="str">
        <f>INDEX(dimensao_bairro!B:B,MATCH(tabela_origem!E234,dimensao_bairro!A:A,0))</f>
        <v>Matriz</v>
      </c>
      <c r="P234" t="str">
        <f t="shared" si="11"/>
        <v>MÉDIO</v>
      </c>
    </row>
    <row r="235" spans="1:16" x14ac:dyDescent="0.25">
      <c r="A235" s="1">
        <v>46084</v>
      </c>
      <c r="B235" t="s">
        <v>7</v>
      </c>
      <c r="C235" s="2">
        <v>0.7680555555555556</v>
      </c>
      <c r="D235" s="2" t="str">
        <f t="shared" si="9"/>
        <v>18h</v>
      </c>
      <c r="E235" t="s">
        <v>23</v>
      </c>
      <c r="F235" t="str">
        <f>VLOOKUP(E235,dimensao_bairro!A:B,2,FALSE)</f>
        <v>Boqueirão</v>
      </c>
      <c r="G235" t="s">
        <v>23</v>
      </c>
      <c r="H235" s="5">
        <v>8.1</v>
      </c>
      <c r="I235" s="5">
        <v>2.6</v>
      </c>
      <c r="J235" t="str">
        <f t="shared" si="10"/>
        <v>Média</v>
      </c>
      <c r="M235" t="str">
        <f>VLOOKUP(E235,dimensao_bairro!A:B,2,FALSE)</f>
        <v>Boqueirão</v>
      </c>
      <c r="O235" t="str">
        <f>INDEX(dimensao_bairro!B:B,MATCH(tabela_origem!E235,dimensao_bairro!A:A,0))</f>
        <v>Boqueirão</v>
      </c>
      <c r="P235" t="str">
        <f t="shared" si="11"/>
        <v>MÉDIO</v>
      </c>
    </row>
    <row r="236" spans="1:16" x14ac:dyDescent="0.25">
      <c r="A236" s="1">
        <v>46084</v>
      </c>
      <c r="B236" t="s">
        <v>7</v>
      </c>
      <c r="C236" s="2">
        <v>0.74583333333333324</v>
      </c>
      <c r="D236" s="2" t="str">
        <f t="shared" si="9"/>
        <v>17h</v>
      </c>
      <c r="E236" t="s">
        <v>13</v>
      </c>
      <c r="F236" t="str">
        <f>VLOOKUP(E236,dimensao_bairro!A:B,2,FALSE)</f>
        <v>Matriz</v>
      </c>
      <c r="G236" t="s">
        <v>13</v>
      </c>
      <c r="H236" s="5">
        <v>8</v>
      </c>
      <c r="I236" s="5">
        <v>2.8</v>
      </c>
      <c r="J236" t="str">
        <f t="shared" si="10"/>
        <v>Média</v>
      </c>
      <c r="M236" t="str">
        <f>VLOOKUP(E236,dimensao_bairro!A:B,2,FALSE)</f>
        <v>Matriz</v>
      </c>
      <c r="O236" t="str">
        <f>INDEX(dimensao_bairro!B:B,MATCH(tabela_origem!E236,dimensao_bairro!A:A,0))</f>
        <v>Matriz</v>
      </c>
      <c r="P236" t="str">
        <f t="shared" si="11"/>
        <v>MÉDIO</v>
      </c>
    </row>
    <row r="237" spans="1:16" x14ac:dyDescent="0.25">
      <c r="A237" s="1">
        <v>46084</v>
      </c>
      <c r="B237" t="s">
        <v>7</v>
      </c>
      <c r="C237" s="2">
        <v>0.68402777777777779</v>
      </c>
      <c r="D237" s="2" t="str">
        <f t="shared" si="9"/>
        <v>16h</v>
      </c>
      <c r="E237" t="s">
        <v>13</v>
      </c>
      <c r="F237" t="str">
        <f>VLOOKUP(E237,dimensao_bairro!A:B,2,FALSE)</f>
        <v>Matriz</v>
      </c>
      <c r="G237" t="s">
        <v>15</v>
      </c>
      <c r="H237" s="5">
        <v>7.7</v>
      </c>
      <c r="I237" s="5">
        <v>2.6</v>
      </c>
      <c r="J237" t="str">
        <f t="shared" si="10"/>
        <v>Média</v>
      </c>
      <c r="M237" t="str">
        <f>VLOOKUP(E237,dimensao_bairro!A:B,2,FALSE)</f>
        <v>Matriz</v>
      </c>
      <c r="O237" t="str">
        <f>INDEX(dimensao_bairro!B:B,MATCH(tabela_origem!E237,dimensao_bairro!A:A,0))</f>
        <v>Matriz</v>
      </c>
      <c r="P237" t="str">
        <f t="shared" si="11"/>
        <v>MÉDIO</v>
      </c>
    </row>
    <row r="238" spans="1:16" x14ac:dyDescent="0.25">
      <c r="A238" s="1">
        <v>46084</v>
      </c>
      <c r="B238" t="s">
        <v>7</v>
      </c>
      <c r="C238" s="2">
        <v>0.73888888888888893</v>
      </c>
      <c r="D238" s="2" t="str">
        <f t="shared" si="9"/>
        <v>17h</v>
      </c>
      <c r="E238" t="s">
        <v>15</v>
      </c>
      <c r="F238" t="str">
        <f>VLOOKUP(E238,dimensao_bairro!A:B,2,FALSE)</f>
        <v>Boqueirão</v>
      </c>
      <c r="G238" t="s">
        <v>13</v>
      </c>
      <c r="H238" s="5">
        <v>7.5</v>
      </c>
      <c r="I238" s="5">
        <v>1.5</v>
      </c>
      <c r="J238" t="str">
        <f t="shared" si="10"/>
        <v>Curta</v>
      </c>
      <c r="M238" t="str">
        <f>VLOOKUP(E238,dimensao_bairro!A:B,2,FALSE)</f>
        <v>Boqueirão</v>
      </c>
      <c r="O238" t="str">
        <f>INDEX(dimensao_bairro!B:B,MATCH(tabela_origem!E238,dimensao_bairro!A:A,0))</f>
        <v>Boqueirão</v>
      </c>
      <c r="P238" t="str">
        <f t="shared" si="11"/>
        <v>MÉDIO</v>
      </c>
    </row>
    <row r="239" spans="1:16" x14ac:dyDescent="0.25">
      <c r="A239" s="1">
        <v>46084</v>
      </c>
      <c r="B239" t="s">
        <v>7</v>
      </c>
      <c r="C239" s="2">
        <v>0.65138888888888891</v>
      </c>
      <c r="D239" s="2" t="str">
        <f t="shared" si="9"/>
        <v>15h</v>
      </c>
      <c r="E239" t="s">
        <v>20</v>
      </c>
      <c r="F239" t="str">
        <f>VLOOKUP(E239,dimensao_bairro!A:B,2,FALSE)</f>
        <v>Matriz</v>
      </c>
      <c r="G239" t="s">
        <v>20</v>
      </c>
      <c r="H239" s="5">
        <v>6.9</v>
      </c>
      <c r="I239" s="5">
        <v>1.7</v>
      </c>
      <c r="J239" t="str">
        <f t="shared" si="10"/>
        <v>Curta</v>
      </c>
      <c r="M239" t="str">
        <f>VLOOKUP(E239,dimensao_bairro!A:B,2,FALSE)</f>
        <v>Matriz</v>
      </c>
      <c r="O239" t="str">
        <f>INDEX(dimensao_bairro!B:B,MATCH(tabela_origem!E239,dimensao_bairro!A:A,0))</f>
        <v>Matriz</v>
      </c>
      <c r="P239" t="str">
        <f t="shared" si="11"/>
        <v>BAIXO</v>
      </c>
    </row>
    <row r="240" spans="1:16" x14ac:dyDescent="0.25">
      <c r="A240" s="1">
        <v>46084</v>
      </c>
      <c r="B240" t="s">
        <v>7</v>
      </c>
      <c r="C240" s="2">
        <v>0.6479166666666667</v>
      </c>
      <c r="D240" s="2" t="str">
        <f t="shared" si="9"/>
        <v>15h</v>
      </c>
      <c r="E240" t="s">
        <v>13</v>
      </c>
      <c r="F240" t="str">
        <f>VLOOKUP(E240,dimensao_bairro!A:B,2,FALSE)</f>
        <v>Matriz</v>
      </c>
      <c r="G240" t="s">
        <v>21</v>
      </c>
      <c r="H240" s="5">
        <v>6.8</v>
      </c>
      <c r="I240" s="5">
        <v>1.9</v>
      </c>
      <c r="J240" t="str">
        <f t="shared" si="10"/>
        <v>Curta</v>
      </c>
      <c r="M240" t="str">
        <f>VLOOKUP(E240,dimensao_bairro!A:B,2,FALSE)</f>
        <v>Matriz</v>
      </c>
      <c r="O240" t="str">
        <f>INDEX(dimensao_bairro!B:B,MATCH(tabela_origem!E240,dimensao_bairro!A:A,0))</f>
        <v>Matriz</v>
      </c>
      <c r="P240" t="str">
        <f t="shared" si="11"/>
        <v>BAIXO</v>
      </c>
    </row>
    <row r="241" spans="1:16" x14ac:dyDescent="0.25">
      <c r="A241" s="1">
        <v>46084</v>
      </c>
      <c r="B241" t="s">
        <v>7</v>
      </c>
      <c r="C241" s="2">
        <v>0.67013888888888884</v>
      </c>
      <c r="D241" s="2" t="str">
        <f t="shared" si="9"/>
        <v>16h</v>
      </c>
      <c r="E241" t="s">
        <v>21</v>
      </c>
      <c r="F241" t="str">
        <f>VLOOKUP(E241,dimensao_bairro!A:B,2,FALSE)</f>
        <v>Matriz</v>
      </c>
      <c r="G241" t="s">
        <v>13</v>
      </c>
      <c r="H241" s="5">
        <v>6.8</v>
      </c>
      <c r="I241" s="5">
        <v>1.7</v>
      </c>
      <c r="J241" t="str">
        <f t="shared" si="10"/>
        <v>Curta</v>
      </c>
      <c r="M241" t="str">
        <f>VLOOKUP(E241,dimensao_bairro!A:B,2,FALSE)</f>
        <v>Matriz</v>
      </c>
      <c r="O241" t="str">
        <f>INDEX(dimensao_bairro!B:B,MATCH(tabela_origem!E241,dimensao_bairro!A:A,0))</f>
        <v>Matriz</v>
      </c>
      <c r="P241" t="str">
        <f t="shared" si="11"/>
        <v>BAIXO</v>
      </c>
    </row>
    <row r="242" spans="1:16" x14ac:dyDescent="0.25">
      <c r="A242" s="1">
        <v>46084</v>
      </c>
      <c r="B242" t="s">
        <v>7</v>
      </c>
      <c r="C242" s="2">
        <v>0.62847222222222221</v>
      </c>
      <c r="D242" s="2" t="str">
        <f t="shared" si="9"/>
        <v>15h</v>
      </c>
      <c r="E242" t="s">
        <v>18</v>
      </c>
      <c r="F242" t="str">
        <f>VLOOKUP(E242,dimensao_bairro!A:B,2,FALSE)</f>
        <v>Matriz</v>
      </c>
      <c r="G242" t="s">
        <v>13</v>
      </c>
      <c r="H242" s="5">
        <v>6.8</v>
      </c>
      <c r="I242" s="5">
        <v>2.8</v>
      </c>
      <c r="J242" t="str">
        <f t="shared" si="10"/>
        <v>Média</v>
      </c>
      <c r="M242" t="str">
        <f>VLOOKUP(E242,dimensao_bairro!A:B,2,FALSE)</f>
        <v>Matriz</v>
      </c>
      <c r="O242" t="str">
        <f>INDEX(dimensao_bairro!B:B,MATCH(tabela_origem!E242,dimensao_bairro!A:A,0))</f>
        <v>Matriz</v>
      </c>
      <c r="P242" t="str">
        <f t="shared" si="11"/>
        <v>BAIXO</v>
      </c>
    </row>
    <row r="243" spans="1:16" x14ac:dyDescent="0.25">
      <c r="A243" s="1">
        <v>46084</v>
      </c>
      <c r="B243" t="s">
        <v>7</v>
      </c>
      <c r="C243" s="2">
        <v>0.63750000000000007</v>
      </c>
      <c r="D243" s="2" t="str">
        <f t="shared" si="9"/>
        <v>15h</v>
      </c>
      <c r="E243" t="s">
        <v>19</v>
      </c>
      <c r="F243" t="str">
        <f>VLOOKUP(E243,dimensao_bairro!A:B,2,FALSE)</f>
        <v>Matriz</v>
      </c>
      <c r="G243" t="s">
        <v>11</v>
      </c>
      <c r="H243" s="5">
        <v>6.5</v>
      </c>
      <c r="I243" s="5">
        <v>1.9</v>
      </c>
      <c r="J243" t="str">
        <f t="shared" si="10"/>
        <v>Curta</v>
      </c>
      <c r="M243" t="str">
        <f>VLOOKUP(E243,dimensao_bairro!A:B,2,FALSE)</f>
        <v>Matriz</v>
      </c>
      <c r="O243" t="str">
        <f>INDEX(dimensao_bairro!B:B,MATCH(tabela_origem!E243,dimensao_bairro!A:A,0))</f>
        <v>Matriz</v>
      </c>
      <c r="P243" t="str">
        <f t="shared" si="11"/>
        <v>BAIXO</v>
      </c>
    </row>
    <row r="244" spans="1:16" x14ac:dyDescent="0.25">
      <c r="A244" s="1">
        <v>46084</v>
      </c>
      <c r="B244" t="s">
        <v>7</v>
      </c>
      <c r="C244" s="2">
        <v>0.73819444444444438</v>
      </c>
      <c r="D244" s="2" t="str">
        <f t="shared" si="9"/>
        <v>17h</v>
      </c>
      <c r="E244" t="s">
        <v>15</v>
      </c>
      <c r="F244" t="str">
        <f>VLOOKUP(E244,dimensao_bairro!A:B,2,FALSE)</f>
        <v>Boqueirão</v>
      </c>
      <c r="G244" t="s">
        <v>16</v>
      </c>
      <c r="H244" s="5">
        <v>6.5</v>
      </c>
      <c r="I244" s="5">
        <v>1</v>
      </c>
      <c r="J244" t="str">
        <f t="shared" si="10"/>
        <v>Curta</v>
      </c>
      <c r="M244" t="str">
        <f>VLOOKUP(E244,dimensao_bairro!A:B,2,FALSE)</f>
        <v>Boqueirão</v>
      </c>
      <c r="O244" t="str">
        <f>INDEX(dimensao_bairro!B:B,MATCH(tabela_origem!E244,dimensao_bairro!A:A,0))</f>
        <v>Boqueirão</v>
      </c>
      <c r="P244" t="str">
        <f t="shared" si="11"/>
        <v>BAIXO</v>
      </c>
    </row>
    <row r="245" spans="1:16" x14ac:dyDescent="0.25">
      <c r="A245" s="1">
        <v>46084</v>
      </c>
      <c r="B245" t="s">
        <v>7</v>
      </c>
      <c r="C245" s="2">
        <v>0.78194444444444444</v>
      </c>
      <c r="D245" s="2" t="str">
        <f t="shared" si="9"/>
        <v>18h</v>
      </c>
      <c r="E245" t="s">
        <v>16</v>
      </c>
      <c r="F245" t="str">
        <f>VLOOKUP(E245,dimensao_bairro!A:B,2,FALSE)</f>
        <v>Bairro Novo</v>
      </c>
      <c r="G245" t="s">
        <v>16</v>
      </c>
      <c r="H245" s="5">
        <v>6.5</v>
      </c>
      <c r="I245" s="5">
        <v>1.8</v>
      </c>
      <c r="J245" t="str">
        <f t="shared" si="10"/>
        <v>Curta</v>
      </c>
      <c r="M245" t="str">
        <f>VLOOKUP(E245,dimensao_bairro!A:B,2,FALSE)</f>
        <v>Bairro Novo</v>
      </c>
      <c r="O245" t="str">
        <f>INDEX(dimensao_bairro!B:B,MATCH(tabela_origem!E245,dimensao_bairro!A:A,0))</f>
        <v>Bairro Novo</v>
      </c>
      <c r="P245" t="str">
        <f t="shared" si="11"/>
        <v>BAIXO</v>
      </c>
    </row>
    <row r="246" spans="1:16" x14ac:dyDescent="0.25">
      <c r="A246" s="1">
        <v>46084</v>
      </c>
      <c r="B246" t="s">
        <v>7</v>
      </c>
      <c r="C246" s="2">
        <v>0.78819444444444453</v>
      </c>
      <c r="D246" s="2" t="str">
        <f t="shared" si="9"/>
        <v>18h</v>
      </c>
      <c r="E246" t="s">
        <v>16</v>
      </c>
      <c r="F246" t="str">
        <f>VLOOKUP(E246,dimensao_bairro!A:B,2,FALSE)</f>
        <v>Bairro Novo</v>
      </c>
      <c r="G246" t="s">
        <v>23</v>
      </c>
      <c r="H246" s="5">
        <v>6.5</v>
      </c>
      <c r="I246" s="5">
        <v>2.4</v>
      </c>
      <c r="J246" t="str">
        <f t="shared" si="10"/>
        <v>Média</v>
      </c>
      <c r="M246" t="str">
        <f>VLOOKUP(E246,dimensao_bairro!A:B,2,FALSE)</f>
        <v>Bairro Novo</v>
      </c>
      <c r="O246" t="str">
        <f>INDEX(dimensao_bairro!B:B,MATCH(tabela_origem!E246,dimensao_bairro!A:A,0))</f>
        <v>Bairro Novo</v>
      </c>
      <c r="P246" t="str">
        <f t="shared" si="11"/>
        <v>BAIXO</v>
      </c>
    </row>
    <row r="247" spans="1:16" x14ac:dyDescent="0.25">
      <c r="A247" s="1">
        <v>46084</v>
      </c>
      <c r="B247" t="s">
        <v>7</v>
      </c>
      <c r="C247" s="2">
        <v>0.75486111111111109</v>
      </c>
      <c r="D247" s="2" t="str">
        <f t="shared" si="9"/>
        <v>18h</v>
      </c>
      <c r="E247" t="s">
        <v>23</v>
      </c>
      <c r="F247" t="str">
        <f>VLOOKUP(E247,dimensao_bairro!A:B,2,FALSE)</f>
        <v>Boqueirão</v>
      </c>
      <c r="G247" t="s">
        <v>16</v>
      </c>
      <c r="H247" s="5">
        <v>6.5</v>
      </c>
      <c r="I247" s="5">
        <v>1.3</v>
      </c>
      <c r="J247" t="str">
        <f t="shared" si="10"/>
        <v>Curta</v>
      </c>
      <c r="M247" t="str">
        <f>VLOOKUP(E247,dimensao_bairro!A:B,2,FALSE)</f>
        <v>Boqueirão</v>
      </c>
      <c r="O247" t="str">
        <f>INDEX(dimensao_bairro!B:B,MATCH(tabela_origem!E247,dimensao_bairro!A:A,0))</f>
        <v>Boqueirão</v>
      </c>
      <c r="P247" t="str">
        <f t="shared" si="11"/>
        <v>BAIXO</v>
      </c>
    </row>
    <row r="248" spans="1:16" x14ac:dyDescent="0.25">
      <c r="A248" s="1">
        <v>46084</v>
      </c>
      <c r="B248" t="s">
        <v>7</v>
      </c>
      <c r="C248" s="2">
        <v>0.77916666666666667</v>
      </c>
      <c r="D248" s="2" t="str">
        <f t="shared" si="9"/>
        <v>18h</v>
      </c>
      <c r="E248" t="s">
        <v>23</v>
      </c>
      <c r="F248" t="str">
        <f>VLOOKUP(E248,dimensao_bairro!A:B,2,FALSE)</f>
        <v>Boqueirão</v>
      </c>
      <c r="G248" t="s">
        <v>6</v>
      </c>
      <c r="H248" s="5">
        <v>6.5</v>
      </c>
      <c r="I248" s="5">
        <v>1.8</v>
      </c>
      <c r="J248" t="str">
        <f t="shared" si="10"/>
        <v>Curta</v>
      </c>
      <c r="M248" t="str">
        <f>VLOOKUP(E248,dimensao_bairro!A:B,2,FALSE)</f>
        <v>Boqueirão</v>
      </c>
      <c r="O248" t="str">
        <f>INDEX(dimensao_bairro!B:B,MATCH(tabela_origem!E248,dimensao_bairro!A:A,0))</f>
        <v>Boqueirão</v>
      </c>
      <c r="P248" t="str">
        <f t="shared" si="11"/>
        <v>BAIXO</v>
      </c>
    </row>
    <row r="249" spans="1:16" x14ac:dyDescent="0.25">
      <c r="A249" s="1">
        <v>46085</v>
      </c>
      <c r="B249" t="s">
        <v>7</v>
      </c>
      <c r="C249" s="2">
        <v>0.75347222222222221</v>
      </c>
      <c r="D249" s="2" t="str">
        <f t="shared" si="9"/>
        <v>18h</v>
      </c>
      <c r="E249" t="s">
        <v>23</v>
      </c>
      <c r="F249" t="str">
        <f>VLOOKUP(E249,dimensao_bairro!A:B,2,FALSE)</f>
        <v>Boqueirão</v>
      </c>
      <c r="G249" t="s">
        <v>11</v>
      </c>
      <c r="H249" s="5">
        <v>16.100000000000001</v>
      </c>
      <c r="I249" s="5">
        <v>6.4</v>
      </c>
      <c r="J249" t="str">
        <f t="shared" si="10"/>
        <v>Longa</v>
      </c>
      <c r="M249" t="str">
        <f>VLOOKUP(E249,dimensao_bairro!A:B,2,FALSE)</f>
        <v>Boqueirão</v>
      </c>
      <c r="O249" t="str">
        <f>INDEX(dimensao_bairro!B:B,MATCH(tabela_origem!E249,dimensao_bairro!A:A,0))</f>
        <v>Boqueirão</v>
      </c>
      <c r="P249" t="str">
        <f t="shared" si="11"/>
        <v>ALTO</v>
      </c>
    </row>
    <row r="250" spans="1:16" x14ac:dyDescent="0.25">
      <c r="A250" s="1">
        <v>46085</v>
      </c>
      <c r="B250" t="s">
        <v>7</v>
      </c>
      <c r="C250" s="2">
        <v>0.73541666666666661</v>
      </c>
      <c r="D250" s="2" t="str">
        <f t="shared" si="9"/>
        <v>17h</v>
      </c>
      <c r="E250" t="s">
        <v>11</v>
      </c>
      <c r="F250" t="str">
        <f>VLOOKUP(E250,dimensao_bairro!A:B,2,FALSE)</f>
        <v>Boqueirão</v>
      </c>
      <c r="G250" t="s">
        <v>26</v>
      </c>
      <c r="H250" s="5">
        <v>11.27</v>
      </c>
      <c r="I250" s="5">
        <v>2</v>
      </c>
      <c r="J250" t="str">
        <f t="shared" si="10"/>
        <v>Curta</v>
      </c>
      <c r="M250" t="str">
        <f>VLOOKUP(E250,dimensao_bairro!A:B,2,FALSE)</f>
        <v>Boqueirão</v>
      </c>
      <c r="O250" t="str">
        <f>INDEX(dimensao_bairro!B:B,MATCH(tabela_origem!E250,dimensao_bairro!A:A,0))</f>
        <v>Boqueirão</v>
      </c>
      <c r="P250" t="str">
        <f t="shared" si="11"/>
        <v>ALTO</v>
      </c>
    </row>
    <row r="251" spans="1:16" x14ac:dyDescent="0.25">
      <c r="A251" s="1">
        <v>46085</v>
      </c>
      <c r="B251" t="s">
        <v>7</v>
      </c>
      <c r="C251" s="2">
        <v>0.78749999999999998</v>
      </c>
      <c r="D251" s="2" t="str">
        <f t="shared" si="9"/>
        <v>18h</v>
      </c>
      <c r="E251" t="s">
        <v>26</v>
      </c>
      <c r="F251" t="str">
        <f>VLOOKUP(E251,dimensao_bairro!A:B,2,FALSE)</f>
        <v>Portão</v>
      </c>
      <c r="G251" t="s">
        <v>15</v>
      </c>
      <c r="H251" s="5">
        <v>10.4</v>
      </c>
      <c r="I251" s="5">
        <v>2.2999999999999998</v>
      </c>
      <c r="J251" t="str">
        <f t="shared" si="10"/>
        <v>Média</v>
      </c>
      <c r="M251" t="str">
        <f>VLOOKUP(E251,dimensao_bairro!A:B,2,FALSE)</f>
        <v>Portão</v>
      </c>
      <c r="O251" t="str">
        <f>INDEX(dimensao_bairro!B:B,MATCH(tabela_origem!E251,dimensao_bairro!A:A,0))</f>
        <v>Portão</v>
      </c>
      <c r="P251" t="str">
        <f t="shared" si="11"/>
        <v>ALTO</v>
      </c>
    </row>
    <row r="252" spans="1:16" x14ac:dyDescent="0.25">
      <c r="A252" s="1">
        <v>46085</v>
      </c>
      <c r="B252" t="s">
        <v>7</v>
      </c>
      <c r="C252" s="2">
        <v>0.70277777777777783</v>
      </c>
      <c r="D252" s="2" t="str">
        <f t="shared" si="9"/>
        <v>16h</v>
      </c>
      <c r="E252" t="s">
        <v>11</v>
      </c>
      <c r="F252" t="str">
        <f>VLOOKUP(E252,dimensao_bairro!A:B,2,FALSE)</f>
        <v>Boqueirão</v>
      </c>
      <c r="G252" t="s">
        <v>11</v>
      </c>
      <c r="H252" s="5">
        <v>10.119999999999999</v>
      </c>
      <c r="I252" s="5">
        <v>2.2000000000000002</v>
      </c>
      <c r="J252" t="str">
        <f t="shared" si="10"/>
        <v>Média</v>
      </c>
      <c r="M252" t="str">
        <f>VLOOKUP(E252,dimensao_bairro!A:B,2,FALSE)</f>
        <v>Boqueirão</v>
      </c>
      <c r="O252" t="str">
        <f>INDEX(dimensao_bairro!B:B,MATCH(tabela_origem!E252,dimensao_bairro!A:A,0))</f>
        <v>Boqueirão</v>
      </c>
      <c r="P252" t="str">
        <f t="shared" si="11"/>
        <v>ALTO</v>
      </c>
    </row>
    <row r="253" spans="1:16" x14ac:dyDescent="0.25">
      <c r="A253" s="1">
        <v>46085</v>
      </c>
      <c r="B253" t="s">
        <v>7</v>
      </c>
      <c r="C253" s="2">
        <v>0.72291666666666676</v>
      </c>
      <c r="D253" s="2" t="str">
        <f t="shared" si="9"/>
        <v>17h</v>
      </c>
      <c r="E253" t="s">
        <v>25</v>
      </c>
      <c r="F253" t="str">
        <f>VLOOKUP(E253,dimensao_bairro!A:B,2,FALSE)</f>
        <v>Cajuru</v>
      </c>
      <c r="G253" t="s">
        <v>26</v>
      </c>
      <c r="H253" s="5">
        <v>7.9</v>
      </c>
      <c r="I253" s="5">
        <v>3.5</v>
      </c>
      <c r="J253" t="str">
        <f t="shared" si="10"/>
        <v>Média</v>
      </c>
      <c r="M253" t="str">
        <f>VLOOKUP(E253,dimensao_bairro!A:B,2,FALSE)</f>
        <v>Cajuru</v>
      </c>
      <c r="O253" t="str">
        <f>INDEX(dimensao_bairro!B:B,MATCH(tabela_origem!E253,dimensao_bairro!A:A,0))</f>
        <v>Cajuru</v>
      </c>
      <c r="P253" t="str">
        <f t="shared" si="11"/>
        <v>MÉDIO</v>
      </c>
    </row>
    <row r="254" spans="1:16" x14ac:dyDescent="0.25">
      <c r="A254" s="1">
        <v>46085</v>
      </c>
      <c r="B254" t="s">
        <v>7</v>
      </c>
      <c r="C254" s="2">
        <v>0.7680555555555556</v>
      </c>
      <c r="D254" s="2" t="str">
        <f t="shared" si="9"/>
        <v>18h</v>
      </c>
      <c r="E254" t="s">
        <v>6</v>
      </c>
      <c r="F254" t="str">
        <f>VLOOKUP(E254,dimensao_bairro!A:B,2,FALSE)</f>
        <v>Portão</v>
      </c>
      <c r="G254" t="s">
        <v>11</v>
      </c>
      <c r="H254" s="5">
        <v>7.8</v>
      </c>
      <c r="I254" s="5">
        <v>2.7</v>
      </c>
      <c r="J254" t="str">
        <f t="shared" si="10"/>
        <v>Média</v>
      </c>
      <c r="M254" t="str">
        <f>VLOOKUP(E254,dimensao_bairro!A:B,2,FALSE)</f>
        <v>Portão</v>
      </c>
      <c r="O254" t="str">
        <f>INDEX(dimensao_bairro!B:B,MATCH(tabela_origem!E254,dimensao_bairro!A:A,0))</f>
        <v>Portão</v>
      </c>
      <c r="P254" t="str">
        <f t="shared" si="11"/>
        <v>MÉDIO</v>
      </c>
    </row>
    <row r="255" spans="1:16" x14ac:dyDescent="0.25">
      <c r="A255" s="1">
        <v>46085</v>
      </c>
      <c r="B255" t="s">
        <v>7</v>
      </c>
      <c r="C255" s="2">
        <v>0.70763888888888893</v>
      </c>
      <c r="D255" s="2" t="str">
        <f t="shared" si="9"/>
        <v>16h</v>
      </c>
      <c r="E255" t="s">
        <v>15</v>
      </c>
      <c r="F255" t="str">
        <f>VLOOKUP(E255,dimensao_bairro!A:B,2,FALSE)</f>
        <v>Boqueirão</v>
      </c>
      <c r="G255" t="s">
        <v>12</v>
      </c>
      <c r="H255" s="5">
        <v>7.38</v>
      </c>
      <c r="I255" s="5">
        <v>1.4</v>
      </c>
      <c r="J255" t="str">
        <f t="shared" si="10"/>
        <v>Curta</v>
      </c>
      <c r="M255" t="str">
        <f>VLOOKUP(E255,dimensao_bairro!A:B,2,FALSE)</f>
        <v>Boqueirão</v>
      </c>
      <c r="O255" t="str">
        <f>INDEX(dimensao_bairro!B:B,MATCH(tabela_origem!E255,dimensao_bairro!A:A,0))</f>
        <v>Boqueirão</v>
      </c>
      <c r="P255" t="str">
        <f t="shared" si="11"/>
        <v>MÉDIO</v>
      </c>
    </row>
    <row r="256" spans="1:16" x14ac:dyDescent="0.25">
      <c r="A256" s="1">
        <v>46085</v>
      </c>
      <c r="B256" t="s">
        <v>7</v>
      </c>
      <c r="C256" s="2">
        <v>0.67083333333333339</v>
      </c>
      <c r="D256" s="2" t="str">
        <f t="shared" si="9"/>
        <v>16h</v>
      </c>
      <c r="E256" t="s">
        <v>11</v>
      </c>
      <c r="F256" t="str">
        <f>VLOOKUP(E256,dimensao_bairro!A:B,2,FALSE)</f>
        <v>Boqueirão</v>
      </c>
      <c r="G256" t="s">
        <v>25</v>
      </c>
      <c r="H256" s="5">
        <v>7.1</v>
      </c>
      <c r="I256" s="5">
        <v>3.1</v>
      </c>
      <c r="J256" t="str">
        <f t="shared" si="10"/>
        <v>Média</v>
      </c>
      <c r="M256" t="str">
        <f>VLOOKUP(E256,dimensao_bairro!A:B,2,FALSE)</f>
        <v>Boqueirão</v>
      </c>
      <c r="O256" t="str">
        <f>INDEX(dimensao_bairro!B:B,MATCH(tabela_origem!E256,dimensao_bairro!A:A,0))</f>
        <v>Boqueirão</v>
      </c>
      <c r="P256" t="str">
        <f t="shared" si="11"/>
        <v>MÉDIO</v>
      </c>
    </row>
    <row r="257" spans="1:16" x14ac:dyDescent="0.25">
      <c r="A257" s="1">
        <v>46085</v>
      </c>
      <c r="B257" t="s">
        <v>7</v>
      </c>
      <c r="C257" s="2">
        <v>0.71597222222222223</v>
      </c>
      <c r="D257" s="2" t="str">
        <f t="shared" si="9"/>
        <v>17h</v>
      </c>
      <c r="E257" t="s">
        <v>25</v>
      </c>
      <c r="F257" t="str">
        <f>VLOOKUP(E257,dimensao_bairro!A:B,2,FALSE)</f>
        <v>Cajuru</v>
      </c>
      <c r="G257" t="s">
        <v>23</v>
      </c>
      <c r="H257" s="5">
        <v>6.7</v>
      </c>
      <c r="I257" s="5">
        <v>1.1000000000000001</v>
      </c>
      <c r="J257" t="str">
        <f t="shared" si="10"/>
        <v>Curta</v>
      </c>
      <c r="M257" t="str">
        <f>VLOOKUP(E257,dimensao_bairro!A:B,2,FALSE)</f>
        <v>Cajuru</v>
      </c>
      <c r="O257" t="str">
        <f>INDEX(dimensao_bairro!B:B,MATCH(tabela_origem!E257,dimensao_bairro!A:A,0))</f>
        <v>Cajuru</v>
      </c>
      <c r="P257" t="str">
        <f t="shared" si="11"/>
        <v>BAIXO</v>
      </c>
    </row>
    <row r="258" spans="1:16" x14ac:dyDescent="0.25">
      <c r="A258" s="1">
        <v>46085</v>
      </c>
      <c r="B258" t="s">
        <v>7</v>
      </c>
      <c r="C258" s="2">
        <v>0.73888888888888893</v>
      </c>
      <c r="D258" s="2" t="str">
        <f t="shared" si="9"/>
        <v>17h</v>
      </c>
      <c r="E258" t="s">
        <v>15</v>
      </c>
      <c r="F258" t="str">
        <f>VLOOKUP(E258,dimensao_bairro!A:B,2,FALSE)</f>
        <v>Boqueirão</v>
      </c>
      <c r="G258" t="s">
        <v>25</v>
      </c>
      <c r="H258" s="5">
        <v>6.6</v>
      </c>
      <c r="I258" s="5">
        <v>0.9</v>
      </c>
      <c r="J258" t="str">
        <f t="shared" si="10"/>
        <v>Curta</v>
      </c>
      <c r="M258" t="str">
        <f>VLOOKUP(E258,dimensao_bairro!A:B,2,FALSE)</f>
        <v>Boqueirão</v>
      </c>
      <c r="O258" t="str">
        <f>INDEX(dimensao_bairro!B:B,MATCH(tabela_origem!E258,dimensao_bairro!A:A,0))</f>
        <v>Boqueirão</v>
      </c>
      <c r="P258" t="str">
        <f t="shared" si="11"/>
        <v>BAIXO</v>
      </c>
    </row>
    <row r="259" spans="1:16" x14ac:dyDescent="0.25">
      <c r="A259" s="1">
        <v>46085</v>
      </c>
      <c r="B259" t="s">
        <v>7</v>
      </c>
      <c r="C259" s="2">
        <v>0.69444444444444453</v>
      </c>
      <c r="D259" s="2" t="str">
        <f t="shared" ref="D259:D322" si="12">TEXT(C259,"hh")&amp;"h"</f>
        <v>16h</v>
      </c>
      <c r="E259" t="s">
        <v>11</v>
      </c>
      <c r="F259" t="str">
        <f>VLOOKUP(E259,dimensao_bairro!A:B,2,FALSE)</f>
        <v>Boqueirão</v>
      </c>
      <c r="G259" t="s">
        <v>5</v>
      </c>
      <c r="H259" s="5">
        <v>6.5</v>
      </c>
      <c r="I259" s="5">
        <v>1.5</v>
      </c>
      <c r="J259" t="str">
        <f t="shared" ref="J259:J322" si="13">IF(I259&lt;=2,"Curta",IF(I259&lt;=4,"Média","Longa"))</f>
        <v>Curta</v>
      </c>
      <c r="M259" t="str">
        <f>VLOOKUP(E259,dimensao_bairro!A:B,2,FALSE)</f>
        <v>Boqueirão</v>
      </c>
      <c r="O259" t="str">
        <f>INDEX(dimensao_bairro!B:B,MATCH(tabela_origem!E259,dimensao_bairro!A:A,0))</f>
        <v>Boqueirão</v>
      </c>
      <c r="P259" t="str">
        <f t="shared" ref="P259:P322" si="14">IF(H259&lt;7,"BAIXO",IF(H259&lt;=10,"MÉDIO","ALTO"))</f>
        <v>BAIXO</v>
      </c>
    </row>
    <row r="260" spans="1:16" x14ac:dyDescent="0.25">
      <c r="A260" s="1">
        <v>46085</v>
      </c>
      <c r="B260" t="s">
        <v>7</v>
      </c>
      <c r="C260" s="2">
        <v>0.7993055555555556</v>
      </c>
      <c r="D260" s="2" t="str">
        <f t="shared" si="12"/>
        <v>19h</v>
      </c>
      <c r="E260" t="s">
        <v>8</v>
      </c>
      <c r="F260" t="str">
        <f>VLOOKUP(E260,dimensao_bairro!A:B,2,FALSE)</f>
        <v>Portão</v>
      </c>
      <c r="G260" t="s">
        <v>26</v>
      </c>
      <c r="H260" s="5">
        <v>6.5</v>
      </c>
      <c r="I260" s="5">
        <v>1.7</v>
      </c>
      <c r="J260" t="str">
        <f t="shared" si="13"/>
        <v>Curta</v>
      </c>
      <c r="M260" t="str">
        <f>VLOOKUP(E260,dimensao_bairro!A:B,2,FALSE)</f>
        <v>Portão</v>
      </c>
      <c r="O260" t="str">
        <f>INDEX(dimensao_bairro!B:B,MATCH(tabela_origem!E260,dimensao_bairro!A:A,0))</f>
        <v>Portão</v>
      </c>
      <c r="P260" t="str">
        <f t="shared" si="14"/>
        <v>BAIXO</v>
      </c>
    </row>
    <row r="261" spans="1:16" x14ac:dyDescent="0.25">
      <c r="A261" s="1">
        <v>46085</v>
      </c>
      <c r="B261" t="s">
        <v>7</v>
      </c>
      <c r="C261" s="2">
        <v>0.77708333333333324</v>
      </c>
      <c r="D261" s="2" t="str">
        <f t="shared" si="12"/>
        <v>18h</v>
      </c>
      <c r="E261" t="s">
        <v>26</v>
      </c>
      <c r="F261" t="str">
        <f>VLOOKUP(E261,dimensao_bairro!A:B,2,FALSE)</f>
        <v>Portão</v>
      </c>
      <c r="G261" t="s">
        <v>12</v>
      </c>
      <c r="H261" s="5">
        <v>6.5</v>
      </c>
      <c r="I261" s="5">
        <v>0.7</v>
      </c>
      <c r="J261" t="str">
        <f t="shared" si="13"/>
        <v>Curta</v>
      </c>
      <c r="M261" t="str">
        <f>VLOOKUP(E261,dimensao_bairro!A:B,2,FALSE)</f>
        <v>Portão</v>
      </c>
      <c r="O261" t="str">
        <f>INDEX(dimensao_bairro!B:B,MATCH(tabela_origem!E261,dimensao_bairro!A:A,0))</f>
        <v>Portão</v>
      </c>
      <c r="P261" t="str">
        <f t="shared" si="14"/>
        <v>BAIXO</v>
      </c>
    </row>
    <row r="262" spans="1:16" x14ac:dyDescent="0.25">
      <c r="A262" s="1">
        <v>46085</v>
      </c>
      <c r="B262" t="s">
        <v>7</v>
      </c>
      <c r="C262" s="2">
        <v>0.79166666666666663</v>
      </c>
      <c r="D262" s="2" t="str">
        <f t="shared" si="12"/>
        <v>19h</v>
      </c>
      <c r="E262" t="s">
        <v>26</v>
      </c>
      <c r="F262" t="str">
        <f>VLOOKUP(E262,dimensao_bairro!A:B,2,FALSE)</f>
        <v>Portão</v>
      </c>
      <c r="G262" t="s">
        <v>11</v>
      </c>
      <c r="H262" s="5">
        <v>6.5</v>
      </c>
      <c r="I262" s="5">
        <v>2.6</v>
      </c>
      <c r="J262" t="str">
        <f t="shared" si="13"/>
        <v>Média</v>
      </c>
      <c r="M262" t="str">
        <f>VLOOKUP(E262,dimensao_bairro!A:B,2,FALSE)</f>
        <v>Portão</v>
      </c>
      <c r="O262" t="str">
        <f>INDEX(dimensao_bairro!B:B,MATCH(tabela_origem!E262,dimensao_bairro!A:A,0))</f>
        <v>Portão</v>
      </c>
      <c r="P262" t="str">
        <f t="shared" si="14"/>
        <v>BAIXO</v>
      </c>
    </row>
    <row r="263" spans="1:16" x14ac:dyDescent="0.25">
      <c r="A263" s="1">
        <v>46085</v>
      </c>
      <c r="B263" t="s">
        <v>7</v>
      </c>
      <c r="C263" s="2">
        <v>0.68680555555555556</v>
      </c>
      <c r="D263" s="2" t="str">
        <f t="shared" si="12"/>
        <v>16h</v>
      </c>
      <c r="E263" t="s">
        <v>10</v>
      </c>
      <c r="F263" t="str">
        <f>VLOOKUP(E263,dimensao_bairro!A:B,2,FALSE)</f>
        <v>Portão</v>
      </c>
      <c r="G263" t="s">
        <v>23</v>
      </c>
      <c r="H263" s="5">
        <v>6.5</v>
      </c>
      <c r="I263" s="5">
        <v>1.6</v>
      </c>
      <c r="J263" t="str">
        <f t="shared" si="13"/>
        <v>Curta</v>
      </c>
      <c r="M263" t="str">
        <f>VLOOKUP(E263,dimensao_bairro!A:B,2,FALSE)</f>
        <v>Portão</v>
      </c>
      <c r="O263" t="str">
        <f>INDEX(dimensao_bairro!B:B,MATCH(tabela_origem!E263,dimensao_bairro!A:A,0))</f>
        <v>Portão</v>
      </c>
      <c r="P263" t="str">
        <f t="shared" si="14"/>
        <v>BAIXO</v>
      </c>
    </row>
    <row r="264" spans="1:16" x14ac:dyDescent="0.25">
      <c r="A264" s="1">
        <v>46085</v>
      </c>
      <c r="B264" t="s">
        <v>7</v>
      </c>
      <c r="C264" s="2">
        <v>0.74652777777777779</v>
      </c>
      <c r="D264" s="2" t="str">
        <f t="shared" si="12"/>
        <v>17h</v>
      </c>
      <c r="E264" t="s">
        <v>23</v>
      </c>
      <c r="F264" t="str">
        <f>VLOOKUP(E264,dimensao_bairro!A:B,2,FALSE)</f>
        <v>Boqueirão</v>
      </c>
      <c r="G264" t="s">
        <v>12</v>
      </c>
      <c r="H264" s="5">
        <v>6.5</v>
      </c>
      <c r="I264" s="5">
        <v>1.2</v>
      </c>
      <c r="J264" t="str">
        <f t="shared" si="13"/>
        <v>Curta</v>
      </c>
      <c r="M264" t="str">
        <f>VLOOKUP(E264,dimensao_bairro!A:B,2,FALSE)</f>
        <v>Boqueirão</v>
      </c>
      <c r="O264" t="str">
        <f>INDEX(dimensao_bairro!B:B,MATCH(tabela_origem!E264,dimensao_bairro!A:A,0))</f>
        <v>Boqueirão</v>
      </c>
      <c r="P264" t="str">
        <f t="shared" si="14"/>
        <v>BAIXO</v>
      </c>
    </row>
    <row r="265" spans="1:16" x14ac:dyDescent="0.25">
      <c r="A265" s="1">
        <v>46086</v>
      </c>
      <c r="B265" t="s">
        <v>7</v>
      </c>
      <c r="C265" s="2">
        <v>0.71388888888888891</v>
      </c>
      <c r="D265" s="2" t="str">
        <f t="shared" si="12"/>
        <v>17h</v>
      </c>
      <c r="E265" t="s">
        <v>10</v>
      </c>
      <c r="F265" t="str">
        <f>VLOOKUP(E265,dimensao_bairro!A:B,2,FALSE)</f>
        <v>Portão</v>
      </c>
      <c r="G265" t="s">
        <v>25</v>
      </c>
      <c r="H265" s="5">
        <v>11.4</v>
      </c>
      <c r="I265" s="5">
        <v>1.2</v>
      </c>
      <c r="J265" t="str">
        <f t="shared" si="13"/>
        <v>Curta</v>
      </c>
      <c r="M265" t="str">
        <f>VLOOKUP(E265,dimensao_bairro!A:B,2,FALSE)</f>
        <v>Portão</v>
      </c>
      <c r="O265" t="str">
        <f>INDEX(dimensao_bairro!B:B,MATCH(tabela_origem!E265,dimensao_bairro!A:A,0))</f>
        <v>Portão</v>
      </c>
      <c r="P265" t="str">
        <f t="shared" si="14"/>
        <v>ALTO</v>
      </c>
    </row>
    <row r="266" spans="1:16" x14ac:dyDescent="0.25">
      <c r="A266" s="1">
        <v>46086</v>
      </c>
      <c r="B266" t="s">
        <v>7</v>
      </c>
      <c r="C266" s="2">
        <v>0.73819444444444438</v>
      </c>
      <c r="D266" s="2" t="str">
        <f t="shared" si="12"/>
        <v>17h</v>
      </c>
      <c r="E266" t="s">
        <v>15</v>
      </c>
      <c r="F266" t="str">
        <f>VLOOKUP(E266,dimensao_bairro!A:B,2,FALSE)</f>
        <v>Boqueirão</v>
      </c>
      <c r="G266" t="s">
        <v>11</v>
      </c>
      <c r="H266" s="5">
        <v>9.1999999999999993</v>
      </c>
      <c r="I266" s="5">
        <v>2.5</v>
      </c>
      <c r="J266" t="str">
        <f t="shared" si="13"/>
        <v>Média</v>
      </c>
      <c r="M266" t="str">
        <f>VLOOKUP(E266,dimensao_bairro!A:B,2,FALSE)</f>
        <v>Boqueirão</v>
      </c>
      <c r="O266" t="str">
        <f>INDEX(dimensao_bairro!B:B,MATCH(tabela_origem!E266,dimensao_bairro!A:A,0))</f>
        <v>Boqueirão</v>
      </c>
      <c r="P266" t="str">
        <f t="shared" si="14"/>
        <v>MÉDIO</v>
      </c>
    </row>
    <row r="267" spans="1:16" x14ac:dyDescent="0.25">
      <c r="A267" s="1">
        <v>46086</v>
      </c>
      <c r="B267" t="s">
        <v>7</v>
      </c>
      <c r="C267" s="2">
        <v>0.65069444444444446</v>
      </c>
      <c r="D267" s="2" t="str">
        <f t="shared" si="12"/>
        <v>15h</v>
      </c>
      <c r="E267" t="s">
        <v>23</v>
      </c>
      <c r="F267" t="str">
        <f>VLOOKUP(E267,dimensao_bairro!A:B,2,FALSE)</f>
        <v>Boqueirão</v>
      </c>
      <c r="G267" t="s">
        <v>5</v>
      </c>
      <c r="H267" s="5">
        <v>8.9</v>
      </c>
      <c r="I267" s="5">
        <v>3.8</v>
      </c>
      <c r="J267" t="str">
        <f t="shared" si="13"/>
        <v>Média</v>
      </c>
      <c r="M267" t="str">
        <f>VLOOKUP(E267,dimensao_bairro!A:B,2,FALSE)</f>
        <v>Boqueirão</v>
      </c>
      <c r="O267" t="str">
        <f>INDEX(dimensao_bairro!B:B,MATCH(tabela_origem!E267,dimensao_bairro!A:A,0))</f>
        <v>Boqueirão</v>
      </c>
      <c r="P267" t="str">
        <f t="shared" si="14"/>
        <v>MÉDIO</v>
      </c>
    </row>
    <row r="268" spans="1:16" x14ac:dyDescent="0.25">
      <c r="A268" s="1">
        <v>46086</v>
      </c>
      <c r="B268" t="s">
        <v>7</v>
      </c>
      <c r="C268" s="2">
        <v>0.81527777777777777</v>
      </c>
      <c r="D268" s="2" t="str">
        <f t="shared" si="12"/>
        <v>19h</v>
      </c>
      <c r="E268" t="s">
        <v>11</v>
      </c>
      <c r="F268" t="str">
        <f>VLOOKUP(E268,dimensao_bairro!A:B,2,FALSE)</f>
        <v>Boqueirão</v>
      </c>
      <c r="G268" t="s">
        <v>8</v>
      </c>
      <c r="H268" s="5">
        <v>8.8000000000000007</v>
      </c>
      <c r="I268" s="5">
        <v>4.0999999999999996</v>
      </c>
      <c r="J268" t="str">
        <f t="shared" si="13"/>
        <v>Longa</v>
      </c>
      <c r="M268" t="str">
        <f>VLOOKUP(E268,dimensao_bairro!A:B,2,FALSE)</f>
        <v>Boqueirão</v>
      </c>
      <c r="O268" t="str">
        <f>INDEX(dimensao_bairro!B:B,MATCH(tabela_origem!E268,dimensao_bairro!A:A,0))</f>
        <v>Boqueirão</v>
      </c>
      <c r="P268" t="str">
        <f t="shared" si="14"/>
        <v>MÉDIO</v>
      </c>
    </row>
    <row r="269" spans="1:16" x14ac:dyDescent="0.25">
      <c r="A269" s="1">
        <v>46086</v>
      </c>
      <c r="B269" t="s">
        <v>7</v>
      </c>
      <c r="C269" s="2">
        <v>0.67708333333333337</v>
      </c>
      <c r="D269" s="2" t="str">
        <f t="shared" si="12"/>
        <v>16h</v>
      </c>
      <c r="E269" t="s">
        <v>5</v>
      </c>
      <c r="F269" t="str">
        <f>VLOOKUP(E269,dimensao_bairro!A:B,2,FALSE)</f>
        <v>Portão</v>
      </c>
      <c r="G269" t="s">
        <v>15</v>
      </c>
      <c r="H269" s="5">
        <v>8.3000000000000007</v>
      </c>
      <c r="I269" s="5">
        <v>2.2999999999999998</v>
      </c>
      <c r="J269" t="str">
        <f t="shared" si="13"/>
        <v>Média</v>
      </c>
      <c r="M269" t="str">
        <f>VLOOKUP(E269,dimensao_bairro!A:B,2,FALSE)</f>
        <v>Portão</v>
      </c>
      <c r="O269" t="str">
        <f>INDEX(dimensao_bairro!B:B,MATCH(tabela_origem!E269,dimensao_bairro!A:A,0))</f>
        <v>Portão</v>
      </c>
      <c r="P269" t="str">
        <f t="shared" si="14"/>
        <v>MÉDIO</v>
      </c>
    </row>
    <row r="270" spans="1:16" x14ac:dyDescent="0.25">
      <c r="A270" s="1">
        <v>46086</v>
      </c>
      <c r="B270" t="s">
        <v>7</v>
      </c>
      <c r="C270" s="2">
        <v>0.74722222222222223</v>
      </c>
      <c r="D270" s="2" t="str">
        <f t="shared" si="12"/>
        <v>17h</v>
      </c>
      <c r="E270" t="s">
        <v>15</v>
      </c>
      <c r="F270" t="str">
        <f>VLOOKUP(E270,dimensao_bairro!A:B,2,FALSE)</f>
        <v>Boqueirão</v>
      </c>
      <c r="G270" t="s">
        <v>11</v>
      </c>
      <c r="H270" s="5">
        <v>8.1999999999999993</v>
      </c>
      <c r="I270" s="5">
        <v>3.3</v>
      </c>
      <c r="J270" t="str">
        <f t="shared" si="13"/>
        <v>Média</v>
      </c>
      <c r="M270" t="str">
        <f>VLOOKUP(E270,dimensao_bairro!A:B,2,FALSE)</f>
        <v>Boqueirão</v>
      </c>
      <c r="O270" t="str">
        <f>INDEX(dimensao_bairro!B:B,MATCH(tabela_origem!E270,dimensao_bairro!A:A,0))</f>
        <v>Boqueirão</v>
      </c>
      <c r="P270" t="str">
        <f t="shared" si="14"/>
        <v>MÉDIO</v>
      </c>
    </row>
    <row r="271" spans="1:16" x14ac:dyDescent="0.25">
      <c r="A271" s="1">
        <v>46086</v>
      </c>
      <c r="B271" t="s">
        <v>7</v>
      </c>
      <c r="C271" s="2">
        <v>0.72430555555555554</v>
      </c>
      <c r="D271" s="2" t="str">
        <f t="shared" si="12"/>
        <v>17h</v>
      </c>
      <c r="E271" t="s">
        <v>11</v>
      </c>
      <c r="F271" t="str">
        <f>VLOOKUP(E271,dimensao_bairro!A:B,2,FALSE)</f>
        <v>Boqueirão</v>
      </c>
      <c r="G271" t="s">
        <v>27</v>
      </c>
      <c r="H271" s="5">
        <v>8.1</v>
      </c>
      <c r="I271" s="5">
        <v>2</v>
      </c>
      <c r="J271" t="str">
        <f t="shared" si="13"/>
        <v>Curta</v>
      </c>
      <c r="M271" t="str">
        <f>VLOOKUP(E271,dimensao_bairro!A:B,2,FALSE)</f>
        <v>Boqueirão</v>
      </c>
      <c r="O271" t="str">
        <f>INDEX(dimensao_bairro!B:B,MATCH(tabela_origem!E271,dimensao_bairro!A:A,0))</f>
        <v>Boqueirão</v>
      </c>
      <c r="P271" t="str">
        <f t="shared" si="14"/>
        <v>MÉDIO</v>
      </c>
    </row>
    <row r="272" spans="1:16" x14ac:dyDescent="0.25">
      <c r="A272" s="1">
        <v>46086</v>
      </c>
      <c r="B272" t="s">
        <v>7</v>
      </c>
      <c r="C272" s="2">
        <v>0.78472222222222221</v>
      </c>
      <c r="D272" s="2" t="str">
        <f t="shared" si="12"/>
        <v>18h</v>
      </c>
      <c r="E272" t="s">
        <v>23</v>
      </c>
      <c r="F272" t="str">
        <f>VLOOKUP(E272,dimensao_bairro!A:B,2,FALSE)</f>
        <v>Boqueirão</v>
      </c>
      <c r="G272" t="s">
        <v>15</v>
      </c>
      <c r="H272" s="5">
        <v>8.1</v>
      </c>
      <c r="I272" s="5">
        <v>2.8</v>
      </c>
      <c r="J272" t="str">
        <f t="shared" si="13"/>
        <v>Média</v>
      </c>
      <c r="M272" t="str">
        <f>VLOOKUP(E272,dimensao_bairro!A:B,2,FALSE)</f>
        <v>Boqueirão</v>
      </c>
      <c r="O272" t="str">
        <f>INDEX(dimensao_bairro!B:B,MATCH(tabela_origem!E272,dimensao_bairro!A:A,0))</f>
        <v>Boqueirão</v>
      </c>
      <c r="P272" t="str">
        <f t="shared" si="14"/>
        <v>MÉDIO</v>
      </c>
    </row>
    <row r="273" spans="1:16" x14ac:dyDescent="0.25">
      <c r="A273" s="1">
        <v>46086</v>
      </c>
      <c r="B273" t="s">
        <v>7</v>
      </c>
      <c r="C273" s="2">
        <v>0.79375000000000007</v>
      </c>
      <c r="D273" s="2" t="str">
        <f t="shared" si="12"/>
        <v>19h</v>
      </c>
      <c r="E273" t="s">
        <v>26</v>
      </c>
      <c r="F273" t="str">
        <f>VLOOKUP(E273,dimensao_bairro!A:B,2,FALSE)</f>
        <v>Portão</v>
      </c>
      <c r="G273" t="s">
        <v>15</v>
      </c>
      <c r="H273" s="5">
        <v>8</v>
      </c>
      <c r="I273" s="5">
        <v>4.5999999999999996</v>
      </c>
      <c r="J273" t="str">
        <f t="shared" si="13"/>
        <v>Longa</v>
      </c>
      <c r="M273" t="str">
        <f>VLOOKUP(E273,dimensao_bairro!A:B,2,FALSE)</f>
        <v>Portão</v>
      </c>
      <c r="O273" t="str">
        <f>INDEX(dimensao_bairro!B:B,MATCH(tabela_origem!E273,dimensao_bairro!A:A,0))</f>
        <v>Portão</v>
      </c>
      <c r="P273" t="str">
        <f t="shared" si="14"/>
        <v>MÉDIO</v>
      </c>
    </row>
    <row r="274" spans="1:16" x14ac:dyDescent="0.25">
      <c r="A274" s="1">
        <v>46086</v>
      </c>
      <c r="B274" t="s">
        <v>7</v>
      </c>
      <c r="C274" s="2">
        <v>0.76736111111111116</v>
      </c>
      <c r="D274" s="2" t="str">
        <f t="shared" si="12"/>
        <v>18h</v>
      </c>
      <c r="E274" t="s">
        <v>15</v>
      </c>
      <c r="F274" t="str">
        <f>VLOOKUP(E274,dimensao_bairro!A:B,2,FALSE)</f>
        <v>Boqueirão</v>
      </c>
      <c r="G274" t="s">
        <v>9</v>
      </c>
      <c r="H274" s="5">
        <v>7.8</v>
      </c>
      <c r="I274" s="5">
        <v>2.6</v>
      </c>
      <c r="J274" t="str">
        <f t="shared" si="13"/>
        <v>Média</v>
      </c>
      <c r="M274" t="str">
        <f>VLOOKUP(E274,dimensao_bairro!A:B,2,FALSE)</f>
        <v>Boqueirão</v>
      </c>
      <c r="O274" t="str">
        <f>INDEX(dimensao_bairro!B:B,MATCH(tabela_origem!E274,dimensao_bairro!A:A,0))</f>
        <v>Boqueirão</v>
      </c>
      <c r="P274" t="str">
        <f t="shared" si="14"/>
        <v>MÉDIO</v>
      </c>
    </row>
    <row r="275" spans="1:16" x14ac:dyDescent="0.25">
      <c r="A275" s="1">
        <v>46086</v>
      </c>
      <c r="B275" t="s">
        <v>7</v>
      </c>
      <c r="C275" s="2">
        <v>0.69861111111111107</v>
      </c>
      <c r="D275" s="2" t="str">
        <f t="shared" si="12"/>
        <v>16h</v>
      </c>
      <c r="E275" t="s">
        <v>9</v>
      </c>
      <c r="F275" t="str">
        <f>VLOOKUP(E275,dimensao_bairro!A:B,2,FALSE)</f>
        <v>Portão</v>
      </c>
      <c r="G275" t="s">
        <v>5</v>
      </c>
      <c r="H275" s="5">
        <v>7.6</v>
      </c>
      <c r="I275" s="5">
        <v>2</v>
      </c>
      <c r="J275" t="str">
        <f t="shared" si="13"/>
        <v>Curta</v>
      </c>
      <c r="M275" t="str">
        <f>VLOOKUP(E275,dimensao_bairro!A:B,2,FALSE)</f>
        <v>Portão</v>
      </c>
      <c r="O275" t="str">
        <f>INDEX(dimensao_bairro!B:B,MATCH(tabela_origem!E275,dimensao_bairro!A:A,0))</f>
        <v>Portão</v>
      </c>
      <c r="P275" t="str">
        <f t="shared" si="14"/>
        <v>MÉDIO</v>
      </c>
    </row>
    <row r="276" spans="1:16" x14ac:dyDescent="0.25">
      <c r="A276" s="1">
        <v>46086</v>
      </c>
      <c r="B276" t="s">
        <v>7</v>
      </c>
      <c r="C276" s="2">
        <v>0.70000000000000007</v>
      </c>
      <c r="D276" s="2" t="str">
        <f t="shared" si="12"/>
        <v>16h</v>
      </c>
      <c r="E276" t="s">
        <v>9</v>
      </c>
      <c r="F276" t="str">
        <f>VLOOKUP(E276,dimensao_bairro!A:B,2,FALSE)</f>
        <v>Portão</v>
      </c>
      <c r="G276" t="s">
        <v>26</v>
      </c>
      <c r="H276" s="5">
        <v>6.7</v>
      </c>
      <c r="I276" s="5">
        <v>3.1</v>
      </c>
      <c r="J276" t="str">
        <f t="shared" si="13"/>
        <v>Média</v>
      </c>
      <c r="M276" t="str">
        <f>VLOOKUP(E276,dimensao_bairro!A:B,2,FALSE)</f>
        <v>Portão</v>
      </c>
      <c r="O276" t="str">
        <f>INDEX(dimensao_bairro!B:B,MATCH(tabela_origem!E276,dimensao_bairro!A:A,0))</f>
        <v>Portão</v>
      </c>
      <c r="P276" t="str">
        <f t="shared" si="14"/>
        <v>BAIXO</v>
      </c>
    </row>
    <row r="277" spans="1:16" x14ac:dyDescent="0.25">
      <c r="A277" s="1">
        <v>46086</v>
      </c>
      <c r="B277" t="s">
        <v>7</v>
      </c>
      <c r="C277" s="2">
        <v>0.82916666666666661</v>
      </c>
      <c r="D277" s="2" t="str">
        <f t="shared" si="12"/>
        <v>19h</v>
      </c>
      <c r="E277" t="s">
        <v>6</v>
      </c>
      <c r="F277" t="str">
        <f>VLOOKUP(E277,dimensao_bairro!A:B,2,FALSE)</f>
        <v>Portão</v>
      </c>
      <c r="G277" t="s">
        <v>15</v>
      </c>
      <c r="H277" s="5">
        <v>6.7</v>
      </c>
      <c r="I277" s="5">
        <v>1.1000000000000001</v>
      </c>
      <c r="J277" t="str">
        <f t="shared" si="13"/>
        <v>Curta</v>
      </c>
      <c r="M277" t="str">
        <f>VLOOKUP(E277,dimensao_bairro!A:B,2,FALSE)</f>
        <v>Portão</v>
      </c>
      <c r="O277" t="str">
        <f>INDEX(dimensao_bairro!B:B,MATCH(tabela_origem!E277,dimensao_bairro!A:A,0))</f>
        <v>Portão</v>
      </c>
      <c r="P277" t="str">
        <f t="shared" si="14"/>
        <v>BAIXO</v>
      </c>
    </row>
    <row r="278" spans="1:16" x14ac:dyDescent="0.25">
      <c r="A278" s="1">
        <v>46086</v>
      </c>
      <c r="B278" t="s">
        <v>7</v>
      </c>
      <c r="C278" s="2">
        <v>0.62777777777777777</v>
      </c>
      <c r="D278" s="2" t="str">
        <f t="shared" si="12"/>
        <v>15h</v>
      </c>
      <c r="E278" t="s">
        <v>15</v>
      </c>
      <c r="F278" t="str">
        <f>VLOOKUP(E278,dimensao_bairro!A:B,2,FALSE)</f>
        <v>Boqueirão</v>
      </c>
      <c r="G278" t="s">
        <v>23</v>
      </c>
      <c r="H278" s="5">
        <v>6.6</v>
      </c>
      <c r="I278" s="5">
        <v>0.8</v>
      </c>
      <c r="J278" t="str">
        <f t="shared" si="13"/>
        <v>Curta</v>
      </c>
      <c r="M278" t="str">
        <f>VLOOKUP(E278,dimensao_bairro!A:B,2,FALSE)</f>
        <v>Boqueirão</v>
      </c>
      <c r="O278" t="str">
        <f>INDEX(dimensao_bairro!B:B,MATCH(tabela_origem!E278,dimensao_bairro!A:A,0))</f>
        <v>Boqueirão</v>
      </c>
      <c r="P278" t="str">
        <f t="shared" si="14"/>
        <v>BAIXO</v>
      </c>
    </row>
    <row r="279" spans="1:16" x14ac:dyDescent="0.25">
      <c r="A279" s="1">
        <v>46086</v>
      </c>
      <c r="B279" t="s">
        <v>7</v>
      </c>
      <c r="C279" s="2">
        <v>0.63055555555555554</v>
      </c>
      <c r="D279" s="2" t="str">
        <f t="shared" si="12"/>
        <v>15h</v>
      </c>
      <c r="E279" t="s">
        <v>15</v>
      </c>
      <c r="F279" t="str">
        <f>VLOOKUP(E279,dimensao_bairro!A:B,2,FALSE)</f>
        <v>Boqueirão</v>
      </c>
      <c r="G279" t="s">
        <v>10</v>
      </c>
      <c r="H279" s="5">
        <v>6.6</v>
      </c>
      <c r="I279" s="5">
        <v>1.7</v>
      </c>
      <c r="J279" t="str">
        <f t="shared" si="13"/>
        <v>Curta</v>
      </c>
      <c r="M279" t="str">
        <f>VLOOKUP(E279,dimensao_bairro!A:B,2,FALSE)</f>
        <v>Boqueirão</v>
      </c>
      <c r="O279" t="str">
        <f>INDEX(dimensao_bairro!B:B,MATCH(tabela_origem!E279,dimensao_bairro!A:A,0))</f>
        <v>Boqueirão</v>
      </c>
      <c r="P279" t="str">
        <f t="shared" si="14"/>
        <v>BAIXO</v>
      </c>
    </row>
    <row r="280" spans="1:16" x14ac:dyDescent="0.25">
      <c r="A280" s="1">
        <v>46086</v>
      </c>
      <c r="B280" t="s">
        <v>7</v>
      </c>
      <c r="C280" s="2">
        <v>0.67152777777777783</v>
      </c>
      <c r="D280" s="2" t="str">
        <f t="shared" si="12"/>
        <v>16h</v>
      </c>
      <c r="E280" t="s">
        <v>12</v>
      </c>
      <c r="F280" t="str">
        <f>VLOOKUP(E280,dimensao_bairro!A:B,2,FALSE)</f>
        <v>Portão</v>
      </c>
      <c r="G280" t="s">
        <v>10</v>
      </c>
      <c r="H280" s="5">
        <v>6.6</v>
      </c>
      <c r="I280" s="5">
        <v>1.7</v>
      </c>
      <c r="J280" t="str">
        <f t="shared" si="13"/>
        <v>Curta</v>
      </c>
      <c r="M280" t="str">
        <f>VLOOKUP(E280,dimensao_bairro!A:B,2,FALSE)</f>
        <v>Portão</v>
      </c>
      <c r="O280" t="str">
        <f>INDEX(dimensao_bairro!B:B,MATCH(tabela_origem!E280,dimensao_bairro!A:A,0))</f>
        <v>Portão</v>
      </c>
      <c r="P280" t="str">
        <f t="shared" si="14"/>
        <v>BAIXO</v>
      </c>
    </row>
    <row r="281" spans="1:16" x14ac:dyDescent="0.25">
      <c r="A281" s="1">
        <v>46086</v>
      </c>
      <c r="B281" t="s">
        <v>7</v>
      </c>
      <c r="C281" s="2">
        <v>0.83680555555555547</v>
      </c>
      <c r="D281" s="2" t="str">
        <f t="shared" si="12"/>
        <v>20h</v>
      </c>
      <c r="E281" t="s">
        <v>26</v>
      </c>
      <c r="F281" t="str">
        <f>VLOOKUP(E281,dimensao_bairro!A:B,2,FALSE)</f>
        <v>Portão</v>
      </c>
      <c r="G281" t="s">
        <v>10</v>
      </c>
      <c r="H281" s="5">
        <v>6.6</v>
      </c>
      <c r="I281" s="5">
        <v>2.2999999999999998</v>
      </c>
      <c r="J281" t="str">
        <f t="shared" si="13"/>
        <v>Média</v>
      </c>
      <c r="M281" t="str">
        <f>VLOOKUP(E281,dimensao_bairro!A:B,2,FALSE)</f>
        <v>Portão</v>
      </c>
      <c r="O281" t="str">
        <f>INDEX(dimensao_bairro!B:B,MATCH(tabela_origem!E281,dimensao_bairro!A:A,0))</f>
        <v>Portão</v>
      </c>
      <c r="P281" t="str">
        <f t="shared" si="14"/>
        <v>BAIXO</v>
      </c>
    </row>
    <row r="282" spans="1:16" x14ac:dyDescent="0.25">
      <c r="A282" s="1">
        <v>46086</v>
      </c>
      <c r="B282" t="s">
        <v>7</v>
      </c>
      <c r="C282" s="2">
        <v>0.70277777777777783</v>
      </c>
      <c r="D282" s="2" t="str">
        <f t="shared" si="12"/>
        <v>16h</v>
      </c>
      <c r="E282" t="s">
        <v>10</v>
      </c>
      <c r="F282" t="str">
        <f>VLOOKUP(E282,dimensao_bairro!A:B,2,FALSE)</f>
        <v>Portão</v>
      </c>
      <c r="G282" t="s">
        <v>15</v>
      </c>
      <c r="H282" s="5">
        <v>6.6</v>
      </c>
      <c r="I282" s="5">
        <v>1.2</v>
      </c>
      <c r="J282" t="str">
        <f t="shared" si="13"/>
        <v>Curta</v>
      </c>
      <c r="M282" t="str">
        <f>VLOOKUP(E282,dimensao_bairro!A:B,2,FALSE)</f>
        <v>Portão</v>
      </c>
      <c r="O282" t="str">
        <f>INDEX(dimensao_bairro!B:B,MATCH(tabela_origem!E282,dimensao_bairro!A:A,0))</f>
        <v>Portão</v>
      </c>
      <c r="P282" t="str">
        <f t="shared" si="14"/>
        <v>BAIXO</v>
      </c>
    </row>
    <row r="283" spans="1:16" x14ac:dyDescent="0.25">
      <c r="A283" s="1">
        <v>46086</v>
      </c>
      <c r="B283" t="s">
        <v>7</v>
      </c>
      <c r="C283" s="2">
        <v>0.75902777777777775</v>
      </c>
      <c r="D283" s="2" t="str">
        <f t="shared" si="12"/>
        <v>18h</v>
      </c>
      <c r="E283" t="s">
        <v>15</v>
      </c>
      <c r="F283" t="str">
        <f>VLOOKUP(E283,dimensao_bairro!A:B,2,FALSE)</f>
        <v>Boqueirão</v>
      </c>
      <c r="G283" t="s">
        <v>23</v>
      </c>
      <c r="H283" s="5">
        <v>6.5</v>
      </c>
      <c r="I283" s="5">
        <v>2.2000000000000002</v>
      </c>
      <c r="J283" t="str">
        <f t="shared" si="13"/>
        <v>Média</v>
      </c>
      <c r="M283" t="str">
        <f>VLOOKUP(E283,dimensao_bairro!A:B,2,FALSE)</f>
        <v>Boqueirão</v>
      </c>
      <c r="O283" t="str">
        <f>INDEX(dimensao_bairro!B:B,MATCH(tabela_origem!E283,dimensao_bairro!A:A,0))</f>
        <v>Boqueirão</v>
      </c>
      <c r="P283" t="str">
        <f t="shared" si="14"/>
        <v>BAIXO</v>
      </c>
    </row>
    <row r="284" spans="1:16" x14ac:dyDescent="0.25">
      <c r="A284" s="1">
        <v>46086</v>
      </c>
      <c r="B284" t="s">
        <v>7</v>
      </c>
      <c r="C284" s="2">
        <v>0.77569444444444446</v>
      </c>
      <c r="D284" s="2" t="str">
        <f t="shared" si="12"/>
        <v>18h</v>
      </c>
      <c r="E284" t="s">
        <v>15</v>
      </c>
      <c r="F284" t="str">
        <f>VLOOKUP(E284,dimensao_bairro!A:B,2,FALSE)</f>
        <v>Boqueirão</v>
      </c>
      <c r="G284" t="s">
        <v>15</v>
      </c>
      <c r="H284" s="5">
        <v>6.5</v>
      </c>
      <c r="I284" s="5">
        <v>3.1</v>
      </c>
      <c r="J284" t="str">
        <f t="shared" si="13"/>
        <v>Média</v>
      </c>
      <c r="M284" t="str">
        <f>VLOOKUP(E284,dimensao_bairro!A:B,2,FALSE)</f>
        <v>Boqueirão</v>
      </c>
      <c r="O284" t="str">
        <f>INDEX(dimensao_bairro!B:B,MATCH(tabela_origem!E284,dimensao_bairro!A:A,0))</f>
        <v>Boqueirão</v>
      </c>
      <c r="P284" t="str">
        <f t="shared" si="14"/>
        <v>BAIXO</v>
      </c>
    </row>
    <row r="285" spans="1:16" x14ac:dyDescent="0.25">
      <c r="A285" s="1">
        <v>46086</v>
      </c>
      <c r="B285" t="s">
        <v>7</v>
      </c>
      <c r="C285" s="2">
        <v>0.80486111111111114</v>
      </c>
      <c r="D285" s="2" t="str">
        <f t="shared" si="12"/>
        <v>19h</v>
      </c>
      <c r="E285" t="s">
        <v>15</v>
      </c>
      <c r="F285" t="str">
        <f>VLOOKUP(E285,dimensao_bairro!A:B,2,FALSE)</f>
        <v>Boqueirão</v>
      </c>
      <c r="G285" t="s">
        <v>12</v>
      </c>
      <c r="H285" s="5">
        <v>6.5</v>
      </c>
      <c r="I285" s="5">
        <v>1.6</v>
      </c>
      <c r="J285" t="str">
        <f t="shared" si="13"/>
        <v>Curta</v>
      </c>
      <c r="M285" t="str">
        <f>VLOOKUP(E285,dimensao_bairro!A:B,2,FALSE)</f>
        <v>Boqueirão</v>
      </c>
      <c r="O285" t="str">
        <f>INDEX(dimensao_bairro!B:B,MATCH(tabela_origem!E285,dimensao_bairro!A:A,0))</f>
        <v>Boqueirão</v>
      </c>
      <c r="P285" t="str">
        <f t="shared" si="14"/>
        <v>BAIXO</v>
      </c>
    </row>
    <row r="286" spans="1:16" x14ac:dyDescent="0.25">
      <c r="A286" s="1">
        <v>46086</v>
      </c>
      <c r="B286" t="s">
        <v>7</v>
      </c>
      <c r="C286" s="2">
        <v>0.66805555555555562</v>
      </c>
      <c r="D286" s="2" t="str">
        <f t="shared" si="12"/>
        <v>16h</v>
      </c>
      <c r="E286" t="s">
        <v>12</v>
      </c>
      <c r="F286" t="str">
        <f>VLOOKUP(E286,dimensao_bairro!A:B,2,FALSE)</f>
        <v>Portão</v>
      </c>
      <c r="G286" t="s">
        <v>11</v>
      </c>
      <c r="H286" s="5">
        <v>6.5</v>
      </c>
      <c r="I286" s="5">
        <v>1</v>
      </c>
      <c r="J286" t="str">
        <f t="shared" si="13"/>
        <v>Curta</v>
      </c>
      <c r="M286" t="str">
        <f>VLOOKUP(E286,dimensao_bairro!A:B,2,FALSE)</f>
        <v>Portão</v>
      </c>
      <c r="O286" t="str">
        <f>INDEX(dimensao_bairro!B:B,MATCH(tabela_origem!E286,dimensao_bairro!A:A,0))</f>
        <v>Portão</v>
      </c>
      <c r="P286" t="str">
        <f t="shared" si="14"/>
        <v>BAIXO</v>
      </c>
    </row>
    <row r="287" spans="1:16" x14ac:dyDescent="0.25">
      <c r="A287" s="1">
        <v>46086</v>
      </c>
      <c r="B287" t="s">
        <v>7</v>
      </c>
      <c r="C287" s="2">
        <v>0.80972222222222223</v>
      </c>
      <c r="D287" s="2" t="str">
        <f t="shared" si="12"/>
        <v>19h</v>
      </c>
      <c r="E287" t="s">
        <v>11</v>
      </c>
      <c r="F287" t="str">
        <f>VLOOKUP(E287,dimensao_bairro!A:B,2,FALSE)</f>
        <v>Boqueirão</v>
      </c>
      <c r="G287" t="s">
        <v>6</v>
      </c>
      <c r="H287" s="5">
        <v>6.5</v>
      </c>
      <c r="I287" s="5">
        <v>1.2</v>
      </c>
      <c r="J287" t="str">
        <f t="shared" si="13"/>
        <v>Curta</v>
      </c>
      <c r="M287" t="str">
        <f>VLOOKUP(E287,dimensao_bairro!A:B,2,FALSE)</f>
        <v>Boqueirão</v>
      </c>
      <c r="O287" t="str">
        <f>INDEX(dimensao_bairro!B:B,MATCH(tabela_origem!E287,dimensao_bairro!A:A,0))</f>
        <v>Boqueirão</v>
      </c>
      <c r="P287" t="str">
        <f t="shared" si="14"/>
        <v>BAIXO</v>
      </c>
    </row>
    <row r="288" spans="1:16" x14ac:dyDescent="0.25">
      <c r="A288" s="1">
        <v>46086</v>
      </c>
      <c r="B288" t="s">
        <v>7</v>
      </c>
      <c r="C288" s="2">
        <v>0.68125000000000002</v>
      </c>
      <c r="D288" s="2" t="str">
        <f t="shared" si="12"/>
        <v>16h</v>
      </c>
      <c r="E288" t="s">
        <v>26</v>
      </c>
      <c r="F288" t="str">
        <f>VLOOKUP(E288,dimensao_bairro!A:B,2,FALSE)</f>
        <v>Portão</v>
      </c>
      <c r="G288" t="s">
        <v>11</v>
      </c>
      <c r="H288" s="5">
        <v>6.5</v>
      </c>
      <c r="I288" s="5">
        <v>1.7</v>
      </c>
      <c r="J288" t="str">
        <f t="shared" si="13"/>
        <v>Curta</v>
      </c>
      <c r="M288" t="str">
        <f>VLOOKUP(E288,dimensao_bairro!A:B,2,FALSE)</f>
        <v>Portão</v>
      </c>
      <c r="O288" t="str">
        <f>INDEX(dimensao_bairro!B:B,MATCH(tabela_origem!E288,dimensao_bairro!A:A,0))</f>
        <v>Portão</v>
      </c>
      <c r="P288" t="str">
        <f t="shared" si="14"/>
        <v>BAIXO</v>
      </c>
    </row>
    <row r="289" spans="1:16" x14ac:dyDescent="0.25">
      <c r="A289" s="1">
        <v>46086</v>
      </c>
      <c r="B289" t="s">
        <v>7</v>
      </c>
      <c r="C289" s="2">
        <v>0.65694444444444444</v>
      </c>
      <c r="D289" s="2" t="str">
        <f t="shared" si="12"/>
        <v>15h</v>
      </c>
      <c r="E289" t="s">
        <v>14</v>
      </c>
      <c r="F289" t="str">
        <f>VLOOKUP(E289,dimensao_bairro!A:B,2,FALSE)</f>
        <v>Cajuru</v>
      </c>
      <c r="G289" t="s">
        <v>23</v>
      </c>
      <c r="H289" s="5">
        <v>6.5</v>
      </c>
      <c r="I289" s="5">
        <v>2.5</v>
      </c>
      <c r="J289" t="str">
        <f t="shared" si="13"/>
        <v>Média</v>
      </c>
      <c r="M289" t="str">
        <f>VLOOKUP(E289,dimensao_bairro!A:B,2,FALSE)</f>
        <v>Cajuru</v>
      </c>
      <c r="O289" t="str">
        <f>INDEX(dimensao_bairro!B:B,MATCH(tabela_origem!E289,dimensao_bairro!A:A,0))</f>
        <v>Cajuru</v>
      </c>
      <c r="P289" t="str">
        <f t="shared" si="14"/>
        <v>BAIXO</v>
      </c>
    </row>
    <row r="290" spans="1:16" x14ac:dyDescent="0.25">
      <c r="A290" s="1">
        <v>46086</v>
      </c>
      <c r="B290" t="s">
        <v>7</v>
      </c>
      <c r="C290" s="2">
        <v>0.6430555555555556</v>
      </c>
      <c r="D290" s="2" t="str">
        <f t="shared" si="12"/>
        <v>15h</v>
      </c>
      <c r="E290" t="s">
        <v>23</v>
      </c>
      <c r="F290" t="str">
        <f>VLOOKUP(E290,dimensao_bairro!A:B,2,FALSE)</f>
        <v>Boqueirão</v>
      </c>
      <c r="G290" t="s">
        <v>15</v>
      </c>
      <c r="H290" s="5">
        <v>6.5</v>
      </c>
      <c r="I290" s="5">
        <v>1.6</v>
      </c>
      <c r="J290" t="str">
        <f t="shared" si="13"/>
        <v>Curta</v>
      </c>
      <c r="M290" t="str">
        <f>VLOOKUP(E290,dimensao_bairro!A:B,2,FALSE)</f>
        <v>Boqueirão</v>
      </c>
      <c r="O290" t="str">
        <f>INDEX(dimensao_bairro!B:B,MATCH(tabela_origem!E290,dimensao_bairro!A:A,0))</f>
        <v>Boqueirão</v>
      </c>
      <c r="P290" t="str">
        <f t="shared" si="14"/>
        <v>BAIXO</v>
      </c>
    </row>
    <row r="291" spans="1:16" x14ac:dyDescent="0.25">
      <c r="A291" s="1">
        <v>46087</v>
      </c>
      <c r="B291" t="s">
        <v>7</v>
      </c>
      <c r="C291" s="2">
        <v>0.71805555555555556</v>
      </c>
      <c r="D291" s="2" t="str">
        <f t="shared" si="12"/>
        <v>17h</v>
      </c>
      <c r="E291" t="s">
        <v>10</v>
      </c>
      <c r="F291" t="str">
        <f>VLOOKUP(E291,dimensao_bairro!A:B,2,FALSE)</f>
        <v>Portão</v>
      </c>
      <c r="G291" t="s">
        <v>23</v>
      </c>
      <c r="H291" s="5">
        <v>28.9</v>
      </c>
      <c r="I291" s="5">
        <v>7.1</v>
      </c>
      <c r="J291" t="str">
        <f t="shared" si="13"/>
        <v>Longa</v>
      </c>
      <c r="M291" t="str">
        <f>VLOOKUP(E291,dimensao_bairro!A:B,2,FALSE)</f>
        <v>Portão</v>
      </c>
      <c r="O291" t="str">
        <f>INDEX(dimensao_bairro!B:B,MATCH(tabela_origem!E291,dimensao_bairro!A:A,0))</f>
        <v>Portão</v>
      </c>
      <c r="P291" t="str">
        <f t="shared" si="14"/>
        <v>ALTO</v>
      </c>
    </row>
    <row r="292" spans="1:16" x14ac:dyDescent="0.25">
      <c r="A292" s="1">
        <v>46087</v>
      </c>
      <c r="B292" t="s">
        <v>7</v>
      </c>
      <c r="C292" s="2">
        <v>0.74930555555555556</v>
      </c>
      <c r="D292" s="2" t="str">
        <f t="shared" si="12"/>
        <v>17h</v>
      </c>
      <c r="E292" t="s">
        <v>11</v>
      </c>
      <c r="F292" t="str">
        <f>VLOOKUP(E292,dimensao_bairro!A:B,2,FALSE)</f>
        <v>Boqueirão</v>
      </c>
      <c r="G292" t="s">
        <v>12</v>
      </c>
      <c r="H292" s="5">
        <v>15.9</v>
      </c>
      <c r="I292" s="5">
        <v>4.4000000000000004</v>
      </c>
      <c r="J292" t="str">
        <f t="shared" si="13"/>
        <v>Longa</v>
      </c>
      <c r="M292" t="str">
        <f>VLOOKUP(E292,dimensao_bairro!A:B,2,FALSE)</f>
        <v>Boqueirão</v>
      </c>
      <c r="O292" t="str">
        <f>INDEX(dimensao_bairro!B:B,MATCH(tabela_origem!E292,dimensao_bairro!A:A,0))</f>
        <v>Boqueirão</v>
      </c>
      <c r="P292" t="str">
        <f t="shared" si="14"/>
        <v>ALTO</v>
      </c>
    </row>
    <row r="293" spans="1:16" x14ac:dyDescent="0.25">
      <c r="A293" s="1">
        <v>46087</v>
      </c>
      <c r="B293" t="s">
        <v>7</v>
      </c>
      <c r="C293" s="2">
        <v>0.69305555555555554</v>
      </c>
      <c r="D293" s="2" t="str">
        <f t="shared" si="12"/>
        <v>16h</v>
      </c>
      <c r="E293" t="s">
        <v>11</v>
      </c>
      <c r="F293" t="str">
        <f>VLOOKUP(E293,dimensao_bairro!A:B,2,FALSE)</f>
        <v>Boqueirão</v>
      </c>
      <c r="G293" t="s">
        <v>23</v>
      </c>
      <c r="H293" s="5">
        <v>12.3</v>
      </c>
      <c r="I293" s="5">
        <v>2.6</v>
      </c>
      <c r="J293" t="str">
        <f t="shared" si="13"/>
        <v>Média</v>
      </c>
      <c r="M293" t="str">
        <f>VLOOKUP(E293,dimensao_bairro!A:B,2,FALSE)</f>
        <v>Boqueirão</v>
      </c>
      <c r="O293" t="str">
        <f>INDEX(dimensao_bairro!B:B,MATCH(tabela_origem!E293,dimensao_bairro!A:A,0))</f>
        <v>Boqueirão</v>
      </c>
      <c r="P293" t="str">
        <f t="shared" si="14"/>
        <v>ALTO</v>
      </c>
    </row>
    <row r="294" spans="1:16" x14ac:dyDescent="0.25">
      <c r="A294" s="1">
        <v>46087</v>
      </c>
      <c r="B294" t="s">
        <v>7</v>
      </c>
      <c r="C294" s="2">
        <v>0.77013888888888893</v>
      </c>
      <c r="D294" s="2" t="str">
        <f t="shared" si="12"/>
        <v>18h</v>
      </c>
      <c r="E294" t="s">
        <v>15</v>
      </c>
      <c r="F294" t="str">
        <f>VLOOKUP(E294,dimensao_bairro!A:B,2,FALSE)</f>
        <v>Boqueirão</v>
      </c>
      <c r="G294" t="s">
        <v>20</v>
      </c>
      <c r="H294" s="5">
        <v>12</v>
      </c>
      <c r="I294" s="5">
        <v>3.7</v>
      </c>
      <c r="J294" t="str">
        <f t="shared" si="13"/>
        <v>Média</v>
      </c>
      <c r="M294" t="str">
        <f>VLOOKUP(E294,dimensao_bairro!A:B,2,FALSE)</f>
        <v>Boqueirão</v>
      </c>
      <c r="O294" t="str">
        <f>INDEX(dimensao_bairro!B:B,MATCH(tabela_origem!E294,dimensao_bairro!A:A,0))</f>
        <v>Boqueirão</v>
      </c>
      <c r="P294" t="str">
        <f t="shared" si="14"/>
        <v>ALTO</v>
      </c>
    </row>
    <row r="295" spans="1:16" x14ac:dyDescent="0.25">
      <c r="A295" s="1">
        <v>46087</v>
      </c>
      <c r="B295" t="s">
        <v>7</v>
      </c>
      <c r="C295" s="2">
        <v>0.71111111111111114</v>
      </c>
      <c r="D295" s="2" t="str">
        <f t="shared" si="12"/>
        <v>17h</v>
      </c>
      <c r="E295" t="s">
        <v>5</v>
      </c>
      <c r="F295" t="str">
        <f>VLOOKUP(E295,dimensao_bairro!A:B,2,FALSE)</f>
        <v>Portão</v>
      </c>
      <c r="G295" t="s">
        <v>11</v>
      </c>
      <c r="H295" s="5">
        <v>11.6</v>
      </c>
      <c r="I295" s="5">
        <v>3.4</v>
      </c>
      <c r="J295" t="str">
        <f t="shared" si="13"/>
        <v>Média</v>
      </c>
      <c r="M295" t="str">
        <f>VLOOKUP(E295,dimensao_bairro!A:B,2,FALSE)</f>
        <v>Portão</v>
      </c>
      <c r="O295" t="str">
        <f>INDEX(dimensao_bairro!B:B,MATCH(tabela_origem!E295,dimensao_bairro!A:A,0))</f>
        <v>Portão</v>
      </c>
      <c r="P295" t="str">
        <f t="shared" si="14"/>
        <v>ALTO</v>
      </c>
    </row>
    <row r="296" spans="1:16" x14ac:dyDescent="0.25">
      <c r="A296" s="1">
        <v>46087</v>
      </c>
      <c r="B296" t="s">
        <v>7</v>
      </c>
      <c r="C296" s="2">
        <v>0.73819444444444438</v>
      </c>
      <c r="D296" s="2" t="str">
        <f t="shared" si="12"/>
        <v>17h</v>
      </c>
      <c r="E296" t="s">
        <v>14</v>
      </c>
      <c r="F296" t="str">
        <f>VLOOKUP(E296,dimensao_bairro!A:B,2,FALSE)</f>
        <v>Cajuru</v>
      </c>
      <c r="G296" t="s">
        <v>16</v>
      </c>
      <c r="H296" s="5">
        <v>10.5</v>
      </c>
      <c r="I296" s="5">
        <v>2</v>
      </c>
      <c r="J296" t="str">
        <f t="shared" si="13"/>
        <v>Curta</v>
      </c>
      <c r="M296" t="str">
        <f>VLOOKUP(E296,dimensao_bairro!A:B,2,FALSE)</f>
        <v>Cajuru</v>
      </c>
      <c r="O296" t="str">
        <f>INDEX(dimensao_bairro!B:B,MATCH(tabela_origem!E296,dimensao_bairro!A:A,0))</f>
        <v>Cajuru</v>
      </c>
      <c r="P296" t="str">
        <f t="shared" si="14"/>
        <v>ALTO</v>
      </c>
    </row>
    <row r="297" spans="1:16" x14ac:dyDescent="0.25">
      <c r="A297" s="1">
        <v>46087</v>
      </c>
      <c r="B297" t="s">
        <v>7</v>
      </c>
      <c r="C297" s="2">
        <v>0.78194444444444444</v>
      </c>
      <c r="D297" s="2" t="str">
        <f t="shared" si="12"/>
        <v>18h</v>
      </c>
      <c r="E297" t="s">
        <v>23</v>
      </c>
      <c r="F297" t="str">
        <f>VLOOKUP(E297,dimensao_bairro!A:B,2,FALSE)</f>
        <v>Boqueirão</v>
      </c>
      <c r="G297" t="s">
        <v>16</v>
      </c>
      <c r="H297" s="5">
        <v>9.9</v>
      </c>
      <c r="I297" s="5">
        <v>3.2</v>
      </c>
      <c r="J297" t="str">
        <f t="shared" si="13"/>
        <v>Média</v>
      </c>
      <c r="M297" t="str">
        <f>VLOOKUP(E297,dimensao_bairro!A:B,2,FALSE)</f>
        <v>Boqueirão</v>
      </c>
      <c r="O297" t="str">
        <f>INDEX(dimensao_bairro!B:B,MATCH(tabela_origem!E297,dimensao_bairro!A:A,0))</f>
        <v>Boqueirão</v>
      </c>
      <c r="P297" t="str">
        <f t="shared" si="14"/>
        <v>MÉDIO</v>
      </c>
    </row>
    <row r="298" spans="1:16" x14ac:dyDescent="0.25">
      <c r="A298" s="1">
        <v>46087</v>
      </c>
      <c r="B298" t="s">
        <v>7</v>
      </c>
      <c r="C298" s="2">
        <v>0.8027777777777777</v>
      </c>
      <c r="D298" s="2" t="str">
        <f t="shared" si="12"/>
        <v>19h</v>
      </c>
      <c r="E298" t="s">
        <v>16</v>
      </c>
      <c r="F298" t="str">
        <f>VLOOKUP(E298,dimensao_bairro!A:B,2,FALSE)</f>
        <v>Bairro Novo</v>
      </c>
      <c r="G298" t="s">
        <v>8</v>
      </c>
      <c r="H298" s="5">
        <v>9.3000000000000007</v>
      </c>
      <c r="I298" s="5">
        <v>2.8</v>
      </c>
      <c r="J298" t="str">
        <f t="shared" si="13"/>
        <v>Média</v>
      </c>
      <c r="M298" t="str">
        <f>VLOOKUP(E298,dimensao_bairro!A:B,2,FALSE)</f>
        <v>Bairro Novo</v>
      </c>
      <c r="O298" t="str">
        <f>INDEX(dimensao_bairro!B:B,MATCH(tabela_origem!E298,dimensao_bairro!A:A,0))</f>
        <v>Bairro Novo</v>
      </c>
      <c r="P298" t="str">
        <f t="shared" si="14"/>
        <v>MÉDIO</v>
      </c>
    </row>
    <row r="299" spans="1:16" x14ac:dyDescent="0.25">
      <c r="A299" s="1">
        <v>46087</v>
      </c>
      <c r="B299" t="s">
        <v>7</v>
      </c>
      <c r="C299" s="2">
        <v>0.70277777777777783</v>
      </c>
      <c r="D299" s="2" t="str">
        <f t="shared" si="12"/>
        <v>16h</v>
      </c>
      <c r="E299" t="s">
        <v>8</v>
      </c>
      <c r="F299" t="str">
        <f>VLOOKUP(E299,dimensao_bairro!A:B,2,FALSE)</f>
        <v>Portão</v>
      </c>
      <c r="G299" t="s">
        <v>15</v>
      </c>
      <c r="H299" s="5">
        <v>8.42</v>
      </c>
      <c r="I299" s="5">
        <v>1.4</v>
      </c>
      <c r="J299" t="str">
        <f t="shared" si="13"/>
        <v>Curta</v>
      </c>
      <c r="M299" t="str">
        <f>VLOOKUP(E299,dimensao_bairro!A:B,2,FALSE)</f>
        <v>Portão</v>
      </c>
      <c r="O299" t="str">
        <f>INDEX(dimensao_bairro!B:B,MATCH(tabela_origem!E299,dimensao_bairro!A:A,0))</f>
        <v>Portão</v>
      </c>
      <c r="P299" t="str">
        <f t="shared" si="14"/>
        <v>MÉDIO</v>
      </c>
    </row>
    <row r="300" spans="1:16" x14ac:dyDescent="0.25">
      <c r="A300" s="1">
        <v>46087</v>
      </c>
      <c r="B300" t="s">
        <v>7</v>
      </c>
      <c r="C300" s="2">
        <v>0.76527777777777783</v>
      </c>
      <c r="D300" s="2" t="str">
        <f t="shared" si="12"/>
        <v>18h</v>
      </c>
      <c r="E300" t="s">
        <v>23</v>
      </c>
      <c r="F300" t="str">
        <f>VLOOKUP(E300,dimensao_bairro!A:B,2,FALSE)</f>
        <v>Boqueirão</v>
      </c>
      <c r="G300" t="s">
        <v>16</v>
      </c>
      <c r="H300" s="5">
        <v>7.8</v>
      </c>
      <c r="I300" s="5">
        <v>2.1</v>
      </c>
      <c r="J300" t="str">
        <f t="shared" si="13"/>
        <v>Média</v>
      </c>
      <c r="M300" t="str">
        <f>VLOOKUP(E300,dimensao_bairro!A:B,2,FALSE)</f>
        <v>Boqueirão</v>
      </c>
      <c r="O300" t="str">
        <f>INDEX(dimensao_bairro!B:B,MATCH(tabela_origem!E300,dimensao_bairro!A:A,0))</f>
        <v>Boqueirão</v>
      </c>
      <c r="P300" t="str">
        <f t="shared" si="14"/>
        <v>MÉDIO</v>
      </c>
    </row>
    <row r="301" spans="1:16" x14ac:dyDescent="0.25">
      <c r="A301" s="1">
        <v>46087</v>
      </c>
      <c r="B301" t="s">
        <v>7</v>
      </c>
      <c r="C301" s="2">
        <v>0.79375000000000007</v>
      </c>
      <c r="D301" s="2" t="str">
        <f t="shared" si="12"/>
        <v>19h</v>
      </c>
      <c r="E301" t="s">
        <v>24</v>
      </c>
      <c r="F301" t="str">
        <f>VLOOKUP(E301,dimensao_bairro!A:B,2,FALSE)</f>
        <v>Pinheirinho</v>
      </c>
      <c r="G301" t="s">
        <v>16</v>
      </c>
      <c r="H301" s="5">
        <v>6.7</v>
      </c>
      <c r="I301" s="5">
        <v>2.5</v>
      </c>
      <c r="J301" t="str">
        <f t="shared" si="13"/>
        <v>Média</v>
      </c>
      <c r="M301" t="str">
        <f>VLOOKUP(E301,dimensao_bairro!A:B,2,FALSE)</f>
        <v>Pinheirinho</v>
      </c>
      <c r="O301" t="str">
        <f>INDEX(dimensao_bairro!B:B,MATCH(tabela_origem!E301,dimensao_bairro!A:A,0))</f>
        <v>Pinheirinho</v>
      </c>
      <c r="P301" t="str">
        <f t="shared" si="14"/>
        <v>BAIXO</v>
      </c>
    </row>
    <row r="302" spans="1:16" x14ac:dyDescent="0.25">
      <c r="A302" s="1">
        <v>46087</v>
      </c>
      <c r="B302" t="s">
        <v>7</v>
      </c>
      <c r="C302" s="2">
        <v>0.84027777777777779</v>
      </c>
      <c r="D302" s="2" t="str">
        <f t="shared" si="12"/>
        <v>20h</v>
      </c>
      <c r="E302" t="s">
        <v>16</v>
      </c>
      <c r="F302" t="str">
        <f>VLOOKUP(E302,dimensao_bairro!A:B,2,FALSE)</f>
        <v>Bairro Novo</v>
      </c>
      <c r="G302" t="s">
        <v>12</v>
      </c>
      <c r="H302" s="5">
        <v>6.7</v>
      </c>
      <c r="I302" s="5">
        <v>2.5</v>
      </c>
      <c r="J302" t="str">
        <f t="shared" si="13"/>
        <v>Média</v>
      </c>
      <c r="M302" t="str">
        <f>VLOOKUP(E302,dimensao_bairro!A:B,2,FALSE)</f>
        <v>Bairro Novo</v>
      </c>
      <c r="O302" t="str">
        <f>INDEX(dimensao_bairro!B:B,MATCH(tabela_origem!E302,dimensao_bairro!A:A,0))</f>
        <v>Bairro Novo</v>
      </c>
      <c r="P302" t="str">
        <f t="shared" si="14"/>
        <v>BAIXO</v>
      </c>
    </row>
    <row r="303" spans="1:16" x14ac:dyDescent="0.25">
      <c r="A303" s="1">
        <v>46087</v>
      </c>
      <c r="B303" t="s">
        <v>7</v>
      </c>
      <c r="C303" s="2">
        <v>0.63750000000000007</v>
      </c>
      <c r="D303" s="2" t="str">
        <f t="shared" si="12"/>
        <v>15h</v>
      </c>
      <c r="E303" t="s">
        <v>8</v>
      </c>
      <c r="F303" t="str">
        <f>VLOOKUP(E303,dimensao_bairro!A:B,2,FALSE)</f>
        <v>Portão</v>
      </c>
      <c r="G303" t="s">
        <v>16</v>
      </c>
      <c r="H303" s="5">
        <v>6.6</v>
      </c>
      <c r="I303" s="5">
        <v>1.7</v>
      </c>
      <c r="J303" t="str">
        <f t="shared" si="13"/>
        <v>Curta</v>
      </c>
      <c r="M303" t="str">
        <f>VLOOKUP(E303,dimensao_bairro!A:B,2,FALSE)</f>
        <v>Portão</v>
      </c>
      <c r="O303" t="str">
        <f>INDEX(dimensao_bairro!B:B,MATCH(tabela_origem!E303,dimensao_bairro!A:A,0))</f>
        <v>Portão</v>
      </c>
      <c r="P303" t="str">
        <f t="shared" si="14"/>
        <v>BAIXO</v>
      </c>
    </row>
    <row r="304" spans="1:16" x14ac:dyDescent="0.25">
      <c r="A304" s="1">
        <v>46087</v>
      </c>
      <c r="B304" t="s">
        <v>7</v>
      </c>
      <c r="C304" s="2">
        <v>0.81111111111111101</v>
      </c>
      <c r="D304" s="2" t="str">
        <f t="shared" si="12"/>
        <v>19h</v>
      </c>
      <c r="E304" t="s">
        <v>16</v>
      </c>
      <c r="F304" t="str">
        <f>VLOOKUP(E304,dimensao_bairro!A:B,2,FALSE)</f>
        <v>Bairro Novo</v>
      </c>
      <c r="G304" t="s">
        <v>16</v>
      </c>
      <c r="H304" s="5">
        <v>6.6</v>
      </c>
      <c r="I304" s="5">
        <v>1.4</v>
      </c>
      <c r="J304" t="str">
        <f t="shared" si="13"/>
        <v>Curta</v>
      </c>
      <c r="M304" t="str">
        <f>VLOOKUP(E304,dimensao_bairro!A:B,2,FALSE)</f>
        <v>Bairro Novo</v>
      </c>
      <c r="O304" t="str">
        <f>INDEX(dimensao_bairro!B:B,MATCH(tabela_origem!E304,dimensao_bairro!A:A,0))</f>
        <v>Bairro Novo</v>
      </c>
      <c r="P304" t="str">
        <f t="shared" si="14"/>
        <v>BAIXO</v>
      </c>
    </row>
    <row r="305" spans="1:16" x14ac:dyDescent="0.25">
      <c r="A305" s="1">
        <v>46087</v>
      </c>
      <c r="B305" t="s">
        <v>7</v>
      </c>
      <c r="C305" s="2">
        <v>0.81458333333333333</v>
      </c>
      <c r="D305" s="2" t="str">
        <f t="shared" si="12"/>
        <v>19h</v>
      </c>
      <c r="E305" t="s">
        <v>16</v>
      </c>
      <c r="F305" t="str">
        <f>VLOOKUP(E305,dimensao_bairro!A:B,2,FALSE)</f>
        <v>Bairro Novo</v>
      </c>
      <c r="G305" t="s">
        <v>16</v>
      </c>
      <c r="H305" s="5">
        <v>6.6</v>
      </c>
      <c r="I305" s="5">
        <v>1.8</v>
      </c>
      <c r="J305" t="str">
        <f t="shared" si="13"/>
        <v>Curta</v>
      </c>
      <c r="M305" t="str">
        <f>VLOOKUP(E305,dimensao_bairro!A:B,2,FALSE)</f>
        <v>Bairro Novo</v>
      </c>
      <c r="O305" t="str">
        <f>INDEX(dimensao_bairro!B:B,MATCH(tabela_origem!E305,dimensao_bairro!A:A,0))</f>
        <v>Bairro Novo</v>
      </c>
      <c r="P305" t="str">
        <f t="shared" si="14"/>
        <v>BAIXO</v>
      </c>
    </row>
    <row r="306" spans="1:16" x14ac:dyDescent="0.25">
      <c r="A306" s="1">
        <v>46087</v>
      </c>
      <c r="B306" t="s">
        <v>7</v>
      </c>
      <c r="C306" s="2">
        <v>0.83194444444444438</v>
      </c>
      <c r="D306" s="2" t="str">
        <f t="shared" si="12"/>
        <v>19h</v>
      </c>
      <c r="E306" t="s">
        <v>16</v>
      </c>
      <c r="F306" t="str">
        <f>VLOOKUP(E306,dimensao_bairro!A:B,2,FALSE)</f>
        <v>Bairro Novo</v>
      </c>
      <c r="G306" t="s">
        <v>6</v>
      </c>
      <c r="H306" s="5">
        <v>6.6</v>
      </c>
      <c r="I306" s="5">
        <v>2.2999999999999998</v>
      </c>
      <c r="J306" t="str">
        <f t="shared" si="13"/>
        <v>Média</v>
      </c>
      <c r="M306" t="str">
        <f>VLOOKUP(E306,dimensao_bairro!A:B,2,FALSE)</f>
        <v>Bairro Novo</v>
      </c>
      <c r="O306" t="str">
        <f>INDEX(dimensao_bairro!B:B,MATCH(tabela_origem!E306,dimensao_bairro!A:A,0))</f>
        <v>Bairro Novo</v>
      </c>
      <c r="P306" t="str">
        <f t="shared" si="14"/>
        <v>BAIXO</v>
      </c>
    </row>
    <row r="307" spans="1:16" x14ac:dyDescent="0.25">
      <c r="A307" s="1">
        <v>46087</v>
      </c>
      <c r="B307" t="s">
        <v>7</v>
      </c>
      <c r="C307" s="2">
        <v>0.63263888888888886</v>
      </c>
      <c r="D307" s="2" t="str">
        <f t="shared" si="12"/>
        <v>15h</v>
      </c>
      <c r="E307" t="s">
        <v>6</v>
      </c>
      <c r="F307" t="str">
        <f>VLOOKUP(E307,dimensao_bairro!A:B,2,FALSE)</f>
        <v>Portão</v>
      </c>
      <c r="G307" t="s">
        <v>16</v>
      </c>
      <c r="H307" s="5">
        <v>6.5</v>
      </c>
      <c r="I307" s="5">
        <v>2</v>
      </c>
      <c r="J307" t="str">
        <f t="shared" si="13"/>
        <v>Curta</v>
      </c>
      <c r="M307" t="str">
        <f>VLOOKUP(E307,dimensao_bairro!A:B,2,FALSE)</f>
        <v>Portão</v>
      </c>
      <c r="O307" t="str">
        <f>INDEX(dimensao_bairro!B:B,MATCH(tabela_origem!E307,dimensao_bairro!A:A,0))</f>
        <v>Portão</v>
      </c>
      <c r="P307" t="str">
        <f t="shared" si="14"/>
        <v>BAIXO</v>
      </c>
    </row>
    <row r="308" spans="1:16" x14ac:dyDescent="0.25">
      <c r="A308" s="1">
        <v>46087</v>
      </c>
      <c r="B308" t="s">
        <v>7</v>
      </c>
      <c r="C308" s="2">
        <v>0.81944444444444453</v>
      </c>
      <c r="D308" s="2" t="str">
        <f t="shared" si="12"/>
        <v>19h</v>
      </c>
      <c r="E308" t="s">
        <v>16</v>
      </c>
      <c r="F308" t="str">
        <f>VLOOKUP(E308,dimensao_bairro!A:B,2,FALSE)</f>
        <v>Bairro Novo</v>
      </c>
      <c r="G308" t="s">
        <v>16</v>
      </c>
      <c r="H308" s="5">
        <v>6.5</v>
      </c>
      <c r="I308" s="5">
        <v>1.2</v>
      </c>
      <c r="J308" t="str">
        <f t="shared" si="13"/>
        <v>Curta</v>
      </c>
      <c r="M308" t="str">
        <f>VLOOKUP(E308,dimensao_bairro!A:B,2,FALSE)</f>
        <v>Bairro Novo</v>
      </c>
      <c r="O308" t="str">
        <f>INDEX(dimensao_bairro!B:B,MATCH(tabela_origem!E308,dimensao_bairro!A:A,0))</f>
        <v>Bairro Novo</v>
      </c>
      <c r="P308" t="str">
        <f t="shared" si="14"/>
        <v>BAIXO</v>
      </c>
    </row>
    <row r="309" spans="1:16" x14ac:dyDescent="0.25">
      <c r="A309" s="1">
        <v>46087</v>
      </c>
      <c r="B309" t="s">
        <v>7</v>
      </c>
      <c r="C309" s="2">
        <v>0.8256944444444444</v>
      </c>
      <c r="D309" s="2" t="str">
        <f t="shared" si="12"/>
        <v>19h</v>
      </c>
      <c r="E309" t="s">
        <v>16</v>
      </c>
      <c r="F309" t="str">
        <f>VLOOKUP(E309,dimensao_bairro!A:B,2,FALSE)</f>
        <v>Bairro Novo</v>
      </c>
      <c r="G309" t="s">
        <v>28</v>
      </c>
      <c r="H309" s="5">
        <v>6.5</v>
      </c>
      <c r="I309" s="5">
        <v>0.6</v>
      </c>
      <c r="J309" t="str">
        <f t="shared" si="13"/>
        <v>Curta</v>
      </c>
      <c r="M309" t="str">
        <f>VLOOKUP(E309,dimensao_bairro!A:B,2,FALSE)</f>
        <v>Bairro Novo</v>
      </c>
      <c r="O309" t="str">
        <f>INDEX(dimensao_bairro!B:B,MATCH(tabela_origem!E309,dimensao_bairro!A:A,0))</f>
        <v>Bairro Novo</v>
      </c>
      <c r="P309" t="str">
        <f t="shared" si="14"/>
        <v>BAIXO</v>
      </c>
    </row>
    <row r="310" spans="1:16" x14ac:dyDescent="0.25">
      <c r="A310" s="1">
        <v>46090</v>
      </c>
      <c r="B310" t="s">
        <v>7</v>
      </c>
      <c r="C310" s="2">
        <v>0.65208333333333335</v>
      </c>
      <c r="D310" s="2" t="str">
        <f t="shared" si="12"/>
        <v>15h</v>
      </c>
      <c r="E310" t="s">
        <v>26</v>
      </c>
      <c r="F310" t="str">
        <f>VLOOKUP(E310,dimensao_bairro!A:B,2,FALSE)</f>
        <v>Portão</v>
      </c>
      <c r="G310" t="s">
        <v>16</v>
      </c>
      <c r="H310" s="5">
        <v>9.6</v>
      </c>
      <c r="I310" s="5">
        <v>3.3</v>
      </c>
      <c r="J310" t="str">
        <f t="shared" si="13"/>
        <v>Média</v>
      </c>
      <c r="M310" t="str">
        <f>VLOOKUP(E310,dimensao_bairro!A:B,2,FALSE)</f>
        <v>Portão</v>
      </c>
      <c r="O310" t="str">
        <f>INDEX(dimensao_bairro!B:B,MATCH(tabela_origem!E310,dimensao_bairro!A:A,0))</f>
        <v>Portão</v>
      </c>
      <c r="P310" t="str">
        <f t="shared" si="14"/>
        <v>MÉDIO</v>
      </c>
    </row>
    <row r="311" spans="1:16" x14ac:dyDescent="0.25">
      <c r="A311" s="1">
        <v>46090</v>
      </c>
      <c r="B311" t="s">
        <v>7</v>
      </c>
      <c r="C311" s="2">
        <v>0.71319444444444446</v>
      </c>
      <c r="D311" s="2" t="str">
        <f t="shared" si="12"/>
        <v>17h</v>
      </c>
      <c r="E311" t="s">
        <v>24</v>
      </c>
      <c r="F311" t="str">
        <f>VLOOKUP(E311,dimensao_bairro!A:B,2,FALSE)</f>
        <v>Pinheirinho</v>
      </c>
      <c r="G311" t="s">
        <v>24</v>
      </c>
      <c r="H311" s="5">
        <v>9.1</v>
      </c>
      <c r="I311" s="5">
        <v>3.1</v>
      </c>
      <c r="J311" t="str">
        <f t="shared" si="13"/>
        <v>Média</v>
      </c>
      <c r="M311" t="str">
        <f>VLOOKUP(E311,dimensao_bairro!A:B,2,FALSE)</f>
        <v>Pinheirinho</v>
      </c>
      <c r="O311" t="str">
        <f>INDEX(dimensao_bairro!B:B,MATCH(tabela_origem!E311,dimensao_bairro!A:A,0))</f>
        <v>Pinheirinho</v>
      </c>
      <c r="P311" t="str">
        <f t="shared" si="14"/>
        <v>MÉDIO</v>
      </c>
    </row>
    <row r="312" spans="1:16" x14ac:dyDescent="0.25">
      <c r="A312" s="1">
        <v>46090</v>
      </c>
      <c r="B312" t="s">
        <v>7</v>
      </c>
      <c r="C312" s="2">
        <v>0.73125000000000007</v>
      </c>
      <c r="D312" s="2" t="str">
        <f t="shared" si="12"/>
        <v>17h</v>
      </c>
      <c r="E312" t="s">
        <v>24</v>
      </c>
      <c r="F312" t="str">
        <f>VLOOKUP(E312,dimensao_bairro!A:B,2,FALSE)</f>
        <v>Pinheirinho</v>
      </c>
      <c r="G312" t="s">
        <v>24</v>
      </c>
      <c r="H312" s="5">
        <v>8.5</v>
      </c>
      <c r="I312" s="5">
        <v>2.7</v>
      </c>
      <c r="J312" t="str">
        <f t="shared" si="13"/>
        <v>Média</v>
      </c>
      <c r="M312" t="str">
        <f>VLOOKUP(E312,dimensao_bairro!A:B,2,FALSE)</f>
        <v>Pinheirinho</v>
      </c>
      <c r="O312" t="str">
        <f>INDEX(dimensao_bairro!B:B,MATCH(tabela_origem!E312,dimensao_bairro!A:A,0))</f>
        <v>Pinheirinho</v>
      </c>
      <c r="P312" t="str">
        <f t="shared" si="14"/>
        <v>MÉDIO</v>
      </c>
    </row>
    <row r="313" spans="1:16" x14ac:dyDescent="0.25">
      <c r="A313" s="1">
        <v>46090</v>
      </c>
      <c r="B313" t="s">
        <v>7</v>
      </c>
      <c r="C313" s="2">
        <v>0.70138888888888884</v>
      </c>
      <c r="D313" s="2" t="str">
        <f t="shared" si="12"/>
        <v>16h</v>
      </c>
      <c r="E313" t="s">
        <v>27</v>
      </c>
      <c r="F313" t="str">
        <f>VLOOKUP(E313,dimensao_bairro!A:B,2,FALSE)</f>
        <v>Pinheirinho</v>
      </c>
      <c r="G313" t="s">
        <v>26</v>
      </c>
      <c r="H313" s="5">
        <v>8.4</v>
      </c>
      <c r="I313" s="5">
        <v>3</v>
      </c>
      <c r="J313" t="str">
        <f t="shared" si="13"/>
        <v>Média</v>
      </c>
      <c r="M313" t="str">
        <f>VLOOKUP(E313,dimensao_bairro!A:B,2,FALSE)</f>
        <v>Pinheirinho</v>
      </c>
      <c r="O313" t="str">
        <f>INDEX(dimensao_bairro!B:B,MATCH(tabela_origem!E313,dimensao_bairro!A:A,0))</f>
        <v>Pinheirinho</v>
      </c>
      <c r="P313" t="str">
        <f t="shared" si="14"/>
        <v>MÉDIO</v>
      </c>
    </row>
    <row r="314" spans="1:16" x14ac:dyDescent="0.25">
      <c r="A314" s="1">
        <v>46090</v>
      </c>
      <c r="B314" t="s">
        <v>7</v>
      </c>
      <c r="C314" s="2">
        <v>0.76736111111111116</v>
      </c>
      <c r="D314" s="2" t="str">
        <f t="shared" si="12"/>
        <v>18h</v>
      </c>
      <c r="E314" t="s">
        <v>26</v>
      </c>
      <c r="F314" t="str">
        <f>VLOOKUP(E314,dimensao_bairro!A:B,2,FALSE)</f>
        <v>Portão</v>
      </c>
      <c r="G314" t="s">
        <v>23</v>
      </c>
      <c r="H314" s="5">
        <v>8.2200000000000006</v>
      </c>
      <c r="I314" s="5">
        <v>2.8</v>
      </c>
      <c r="J314" t="str">
        <f t="shared" si="13"/>
        <v>Média</v>
      </c>
      <c r="M314" t="str">
        <f>VLOOKUP(E314,dimensao_bairro!A:B,2,FALSE)</f>
        <v>Portão</v>
      </c>
      <c r="O314" t="str">
        <f>INDEX(dimensao_bairro!B:B,MATCH(tabela_origem!E314,dimensao_bairro!A:A,0))</f>
        <v>Portão</v>
      </c>
      <c r="P314" t="str">
        <f t="shared" si="14"/>
        <v>MÉDIO</v>
      </c>
    </row>
    <row r="315" spans="1:16" x14ac:dyDescent="0.25">
      <c r="A315" s="1">
        <v>46090</v>
      </c>
      <c r="B315" t="s">
        <v>7</v>
      </c>
      <c r="C315" s="2">
        <v>0.7597222222222223</v>
      </c>
      <c r="D315" s="2" t="str">
        <f t="shared" si="12"/>
        <v>18h</v>
      </c>
      <c r="E315" t="s">
        <v>24</v>
      </c>
      <c r="F315" t="str">
        <f>VLOOKUP(E315,dimensao_bairro!A:B,2,FALSE)</f>
        <v>Pinheirinho</v>
      </c>
      <c r="G315" t="s">
        <v>24</v>
      </c>
      <c r="H315" s="5">
        <v>8.1199999999999992</v>
      </c>
      <c r="I315" s="5">
        <v>2.5</v>
      </c>
      <c r="J315" t="str">
        <f t="shared" si="13"/>
        <v>Média</v>
      </c>
      <c r="M315" t="str">
        <f>VLOOKUP(E315,dimensao_bairro!A:B,2,FALSE)</f>
        <v>Pinheirinho</v>
      </c>
      <c r="O315" t="str">
        <f>INDEX(dimensao_bairro!B:B,MATCH(tabela_origem!E315,dimensao_bairro!A:A,0))</f>
        <v>Pinheirinho</v>
      </c>
      <c r="P315" t="str">
        <f t="shared" si="14"/>
        <v>MÉDIO</v>
      </c>
    </row>
    <row r="316" spans="1:16" x14ac:dyDescent="0.25">
      <c r="A316" s="1">
        <v>46090</v>
      </c>
      <c r="B316" t="s">
        <v>7</v>
      </c>
      <c r="C316" s="2">
        <v>0.75138888888888899</v>
      </c>
      <c r="D316" s="2" t="str">
        <f t="shared" si="12"/>
        <v>18h</v>
      </c>
      <c r="E316" t="s">
        <v>24</v>
      </c>
      <c r="F316" t="str">
        <f>VLOOKUP(E316,dimensao_bairro!A:B,2,FALSE)</f>
        <v>Pinheirinho</v>
      </c>
      <c r="G316" t="s">
        <v>27</v>
      </c>
      <c r="H316" s="5">
        <v>8.1</v>
      </c>
      <c r="I316" s="5">
        <v>2.2999999999999998</v>
      </c>
      <c r="J316" t="str">
        <f t="shared" si="13"/>
        <v>Média</v>
      </c>
      <c r="M316" t="str">
        <f>VLOOKUP(E316,dimensao_bairro!A:B,2,FALSE)</f>
        <v>Pinheirinho</v>
      </c>
      <c r="O316" t="str">
        <f>INDEX(dimensao_bairro!B:B,MATCH(tabela_origem!E316,dimensao_bairro!A:A,0))</f>
        <v>Pinheirinho</v>
      </c>
      <c r="P316" t="str">
        <f t="shared" si="14"/>
        <v>MÉDIO</v>
      </c>
    </row>
    <row r="317" spans="1:16" x14ac:dyDescent="0.25">
      <c r="A317" s="1">
        <v>46090</v>
      </c>
      <c r="B317" t="s">
        <v>7</v>
      </c>
      <c r="C317" s="2">
        <v>0.69374999999999998</v>
      </c>
      <c r="D317" s="2" t="str">
        <f t="shared" si="12"/>
        <v>16h</v>
      </c>
      <c r="E317" t="s">
        <v>26</v>
      </c>
      <c r="F317" t="str">
        <f>VLOOKUP(E317,dimensao_bairro!A:B,2,FALSE)</f>
        <v>Portão</v>
      </c>
      <c r="G317" t="s">
        <v>6</v>
      </c>
      <c r="H317" s="5">
        <v>7.72</v>
      </c>
      <c r="I317" s="5">
        <v>1.8</v>
      </c>
      <c r="J317" t="str">
        <f t="shared" si="13"/>
        <v>Curta</v>
      </c>
      <c r="M317" t="str">
        <f>VLOOKUP(E317,dimensao_bairro!A:B,2,FALSE)</f>
        <v>Portão</v>
      </c>
      <c r="O317" t="str">
        <f>INDEX(dimensao_bairro!B:B,MATCH(tabela_origem!E317,dimensao_bairro!A:A,0))</f>
        <v>Portão</v>
      </c>
      <c r="P317" t="str">
        <f t="shared" si="14"/>
        <v>MÉDIO</v>
      </c>
    </row>
    <row r="318" spans="1:16" x14ac:dyDescent="0.25">
      <c r="A318" s="1">
        <v>46090</v>
      </c>
      <c r="B318" t="s">
        <v>7</v>
      </c>
      <c r="C318" s="2">
        <v>0.79236111111111107</v>
      </c>
      <c r="D318" s="2" t="str">
        <f t="shared" si="12"/>
        <v>19h</v>
      </c>
      <c r="E318" t="s">
        <v>26</v>
      </c>
      <c r="F318" t="str">
        <f>VLOOKUP(E318,dimensao_bairro!A:B,2,FALSE)</f>
        <v>Portão</v>
      </c>
      <c r="G318" t="s">
        <v>24</v>
      </c>
      <c r="H318" s="5">
        <v>7.2</v>
      </c>
      <c r="I318" s="5">
        <v>1.8</v>
      </c>
      <c r="J318" t="str">
        <f t="shared" si="13"/>
        <v>Curta</v>
      </c>
      <c r="M318" t="str">
        <f>VLOOKUP(E318,dimensao_bairro!A:B,2,FALSE)</f>
        <v>Portão</v>
      </c>
      <c r="O318" t="str">
        <f>INDEX(dimensao_bairro!B:B,MATCH(tabela_origem!E318,dimensao_bairro!A:A,0))</f>
        <v>Portão</v>
      </c>
      <c r="P318" t="str">
        <f t="shared" si="14"/>
        <v>MÉDIO</v>
      </c>
    </row>
    <row r="319" spans="1:16" x14ac:dyDescent="0.25">
      <c r="A319" s="1">
        <v>46090</v>
      </c>
      <c r="B319" t="s">
        <v>7</v>
      </c>
      <c r="C319" s="2">
        <v>0.72430555555555554</v>
      </c>
      <c r="D319" s="2" t="str">
        <f t="shared" si="12"/>
        <v>17h</v>
      </c>
      <c r="E319" t="s">
        <v>16</v>
      </c>
      <c r="F319" t="str">
        <f>VLOOKUP(E319,dimensao_bairro!A:B,2,FALSE)</f>
        <v>Bairro Novo</v>
      </c>
      <c r="G319" t="s">
        <v>26</v>
      </c>
      <c r="H319" s="5">
        <v>6.7</v>
      </c>
      <c r="I319" s="5">
        <v>2.6</v>
      </c>
      <c r="J319" t="str">
        <f t="shared" si="13"/>
        <v>Média</v>
      </c>
      <c r="M319" t="str">
        <f>VLOOKUP(E319,dimensao_bairro!A:B,2,FALSE)</f>
        <v>Bairro Novo</v>
      </c>
      <c r="O319" t="str">
        <f>INDEX(dimensao_bairro!B:B,MATCH(tabela_origem!E319,dimensao_bairro!A:A,0))</f>
        <v>Bairro Novo</v>
      </c>
      <c r="P319" t="str">
        <f t="shared" si="14"/>
        <v>BAIXO</v>
      </c>
    </row>
    <row r="320" spans="1:16" x14ac:dyDescent="0.25">
      <c r="A320" s="1">
        <v>46090</v>
      </c>
      <c r="B320" t="s">
        <v>7</v>
      </c>
      <c r="C320" s="2">
        <v>0.78333333333333333</v>
      </c>
      <c r="D320" s="2" t="str">
        <f t="shared" si="12"/>
        <v>18h</v>
      </c>
      <c r="E320" t="s">
        <v>27</v>
      </c>
      <c r="F320" t="str">
        <f>VLOOKUP(E320,dimensao_bairro!A:B,2,FALSE)</f>
        <v>Pinheirinho</v>
      </c>
      <c r="G320" t="s">
        <v>28</v>
      </c>
      <c r="H320" s="5">
        <v>6.6</v>
      </c>
      <c r="I320" s="5">
        <v>2.2999999999999998</v>
      </c>
      <c r="J320" t="str">
        <f t="shared" si="13"/>
        <v>Média</v>
      </c>
      <c r="M320" t="str">
        <f>VLOOKUP(E320,dimensao_bairro!A:B,2,FALSE)</f>
        <v>Pinheirinho</v>
      </c>
      <c r="O320" t="str">
        <f>INDEX(dimensao_bairro!B:B,MATCH(tabela_origem!E320,dimensao_bairro!A:A,0))</f>
        <v>Pinheirinho</v>
      </c>
      <c r="P320" t="str">
        <f t="shared" si="14"/>
        <v>BAIXO</v>
      </c>
    </row>
    <row r="321" spans="1:16" x14ac:dyDescent="0.25">
      <c r="A321" s="1">
        <v>46090</v>
      </c>
      <c r="B321" t="s">
        <v>7</v>
      </c>
      <c r="C321" s="2">
        <v>0.66319444444444442</v>
      </c>
      <c r="D321" s="2" t="str">
        <f t="shared" si="12"/>
        <v>15h</v>
      </c>
      <c r="E321" t="s">
        <v>28</v>
      </c>
      <c r="F321" t="str">
        <f>VLOOKUP(E321,dimensao_bairro!A:B,2,FALSE)</f>
        <v>CIC</v>
      </c>
      <c r="G321" t="s">
        <v>8</v>
      </c>
      <c r="H321" s="5">
        <v>6.6</v>
      </c>
      <c r="I321" s="5">
        <v>3.2</v>
      </c>
      <c r="J321" t="str">
        <f t="shared" si="13"/>
        <v>Média</v>
      </c>
      <c r="M321" t="str">
        <f>VLOOKUP(E321,dimensao_bairro!A:B,2,FALSE)</f>
        <v>CIC</v>
      </c>
      <c r="O321" t="str">
        <f>INDEX(dimensao_bairro!B:B,MATCH(tabela_origem!E321,dimensao_bairro!A:A,0))</f>
        <v>CIC</v>
      </c>
      <c r="P321" t="str">
        <f t="shared" si="14"/>
        <v>BAIXO</v>
      </c>
    </row>
    <row r="322" spans="1:16" x14ac:dyDescent="0.25">
      <c r="A322" s="1">
        <v>46090</v>
      </c>
      <c r="B322" t="s">
        <v>7</v>
      </c>
      <c r="C322" s="2">
        <v>0.62916666666666665</v>
      </c>
      <c r="D322" s="2" t="str">
        <f t="shared" si="12"/>
        <v>15h</v>
      </c>
      <c r="E322" t="s">
        <v>12</v>
      </c>
      <c r="F322" t="str">
        <f>VLOOKUP(E322,dimensao_bairro!A:B,2,FALSE)</f>
        <v>Portão</v>
      </c>
      <c r="G322" t="s">
        <v>29</v>
      </c>
      <c r="H322" s="5">
        <v>6.6</v>
      </c>
      <c r="I322" s="5">
        <v>1.1000000000000001</v>
      </c>
      <c r="J322" t="str">
        <f t="shared" si="13"/>
        <v>Curta</v>
      </c>
      <c r="M322" t="str">
        <f>VLOOKUP(E322,dimensao_bairro!A:B,2,FALSE)</f>
        <v>Portão</v>
      </c>
      <c r="O322" t="str">
        <f>INDEX(dimensao_bairro!B:B,MATCH(tabela_origem!E322,dimensao_bairro!A:A,0))</f>
        <v>Portão</v>
      </c>
      <c r="P322" t="str">
        <f t="shared" si="14"/>
        <v>BAIXO</v>
      </c>
    </row>
    <row r="323" spans="1:16" x14ac:dyDescent="0.25">
      <c r="A323" s="1">
        <v>46090</v>
      </c>
      <c r="B323" t="s">
        <v>7</v>
      </c>
      <c r="C323" s="2">
        <v>0.6743055555555556</v>
      </c>
      <c r="D323" s="2" t="str">
        <f t="shared" ref="D323:D386" si="15">TEXT(C323,"hh")&amp;"h"</f>
        <v>16h</v>
      </c>
      <c r="E323" t="s">
        <v>29</v>
      </c>
      <c r="F323" t="str">
        <f>VLOOKUP(E323,dimensao_bairro!A:B,2,FALSE)</f>
        <v>Portão</v>
      </c>
      <c r="G323" t="s">
        <v>26</v>
      </c>
      <c r="H323" s="5">
        <v>6.6</v>
      </c>
      <c r="I323" s="5">
        <v>1.1000000000000001</v>
      </c>
      <c r="J323" t="str">
        <f t="shared" ref="J323:J386" si="16">IF(I323&lt;=2,"Curta",IF(I323&lt;=4,"Média","Longa"))</f>
        <v>Curta</v>
      </c>
      <c r="M323" t="str">
        <f>VLOOKUP(E323,dimensao_bairro!A:B,2,FALSE)</f>
        <v>Portão</v>
      </c>
      <c r="O323" t="str">
        <f>INDEX(dimensao_bairro!B:B,MATCH(tabela_origem!E323,dimensao_bairro!A:A,0))</f>
        <v>Portão</v>
      </c>
      <c r="P323" t="str">
        <f t="shared" ref="P323:P386" si="17">IF(H323&lt;7,"BAIXO",IF(H323&lt;=10,"MÉDIO","ALTO"))</f>
        <v>BAIXO</v>
      </c>
    </row>
    <row r="324" spans="1:16" x14ac:dyDescent="0.25">
      <c r="A324" s="1">
        <v>46090</v>
      </c>
      <c r="B324" t="s">
        <v>7</v>
      </c>
      <c r="C324" s="2">
        <v>0.63541666666666663</v>
      </c>
      <c r="D324" s="2" t="str">
        <f t="shared" si="15"/>
        <v>15h</v>
      </c>
      <c r="E324" t="s">
        <v>9</v>
      </c>
      <c r="F324" t="str">
        <f>VLOOKUP(E324,dimensao_bairro!A:B,2,FALSE)</f>
        <v>Portão</v>
      </c>
      <c r="G324" t="s">
        <v>26</v>
      </c>
      <c r="H324" s="5">
        <v>6.5</v>
      </c>
      <c r="I324" s="5">
        <v>0.6</v>
      </c>
      <c r="J324" t="str">
        <f t="shared" si="16"/>
        <v>Curta</v>
      </c>
      <c r="M324" t="str">
        <f>VLOOKUP(E324,dimensao_bairro!A:B,2,FALSE)</f>
        <v>Portão</v>
      </c>
      <c r="O324" t="str">
        <f>INDEX(dimensao_bairro!B:B,MATCH(tabela_origem!E324,dimensao_bairro!A:A,0))</f>
        <v>Portão</v>
      </c>
      <c r="P324" t="str">
        <f t="shared" si="17"/>
        <v>BAIXO</v>
      </c>
    </row>
    <row r="325" spans="1:16" x14ac:dyDescent="0.25">
      <c r="A325" s="1">
        <v>46090</v>
      </c>
      <c r="B325" t="s">
        <v>7</v>
      </c>
      <c r="C325" s="2">
        <v>0.63194444444444442</v>
      </c>
      <c r="D325" s="2" t="str">
        <f t="shared" si="15"/>
        <v>15h</v>
      </c>
      <c r="E325" t="s">
        <v>12</v>
      </c>
      <c r="F325" t="str">
        <f>VLOOKUP(E325,dimensao_bairro!A:B,2,FALSE)</f>
        <v>Portão</v>
      </c>
      <c r="G325" t="s">
        <v>26</v>
      </c>
      <c r="H325" s="5">
        <v>6.5</v>
      </c>
      <c r="I325" s="5">
        <v>1.4</v>
      </c>
      <c r="J325" t="str">
        <f t="shared" si="16"/>
        <v>Curta</v>
      </c>
      <c r="M325" t="str">
        <f>VLOOKUP(E325,dimensao_bairro!A:B,2,FALSE)</f>
        <v>Portão</v>
      </c>
      <c r="O325" t="str">
        <f>INDEX(dimensao_bairro!B:B,MATCH(tabela_origem!E325,dimensao_bairro!A:A,0))</f>
        <v>Portão</v>
      </c>
      <c r="P325" t="str">
        <f t="shared" si="17"/>
        <v>BAIXO</v>
      </c>
    </row>
    <row r="326" spans="1:16" x14ac:dyDescent="0.25">
      <c r="A326" s="1">
        <v>46090</v>
      </c>
      <c r="B326" t="s">
        <v>7</v>
      </c>
      <c r="C326" s="2">
        <v>0.68541666666666667</v>
      </c>
      <c r="D326" s="2" t="str">
        <f t="shared" si="15"/>
        <v>16h</v>
      </c>
      <c r="E326" t="s">
        <v>29</v>
      </c>
      <c r="F326" t="str">
        <f>VLOOKUP(E326,dimensao_bairro!A:B,2,FALSE)</f>
        <v>Portão</v>
      </c>
      <c r="G326" t="s">
        <v>26</v>
      </c>
      <c r="H326" s="5">
        <v>6.5</v>
      </c>
      <c r="I326" s="5">
        <v>3.3</v>
      </c>
      <c r="J326" t="str">
        <f t="shared" si="16"/>
        <v>Média</v>
      </c>
      <c r="M326" t="str">
        <f>VLOOKUP(E326,dimensao_bairro!A:B,2,FALSE)</f>
        <v>Portão</v>
      </c>
      <c r="O326" t="str">
        <f>INDEX(dimensao_bairro!B:B,MATCH(tabela_origem!E326,dimensao_bairro!A:A,0))</f>
        <v>Portão</v>
      </c>
      <c r="P326" t="str">
        <f t="shared" si="17"/>
        <v>BAIXO</v>
      </c>
    </row>
    <row r="327" spans="1:16" x14ac:dyDescent="0.25">
      <c r="A327" s="1">
        <v>46090</v>
      </c>
      <c r="B327" t="s">
        <v>7</v>
      </c>
      <c r="C327" s="2">
        <v>0.64027777777777783</v>
      </c>
      <c r="D327" s="2" t="str">
        <f t="shared" si="15"/>
        <v>15h</v>
      </c>
      <c r="E327" t="s">
        <v>26</v>
      </c>
      <c r="F327" t="str">
        <f>VLOOKUP(E327,dimensao_bairro!A:B,2,FALSE)</f>
        <v>Portão</v>
      </c>
      <c r="G327" t="s">
        <v>26</v>
      </c>
      <c r="H327" s="5">
        <v>6.5</v>
      </c>
      <c r="I327" s="5">
        <v>1.5</v>
      </c>
      <c r="J327" t="str">
        <f t="shared" si="16"/>
        <v>Curta</v>
      </c>
      <c r="M327" t="str">
        <f>VLOOKUP(E327,dimensao_bairro!A:B,2,FALSE)</f>
        <v>Portão</v>
      </c>
      <c r="O327" t="str">
        <f>INDEX(dimensao_bairro!B:B,MATCH(tabela_origem!E327,dimensao_bairro!A:A,0))</f>
        <v>Portão</v>
      </c>
      <c r="P327" t="str">
        <f t="shared" si="17"/>
        <v>BAIXO</v>
      </c>
    </row>
    <row r="328" spans="1:16" x14ac:dyDescent="0.25">
      <c r="A328" s="1">
        <v>46090</v>
      </c>
      <c r="B328" t="s">
        <v>7</v>
      </c>
      <c r="C328" s="2">
        <v>0.7729166666666667</v>
      </c>
      <c r="D328" s="2" t="str">
        <f t="shared" si="15"/>
        <v>18h</v>
      </c>
      <c r="E328" t="s">
        <v>26</v>
      </c>
      <c r="F328" t="str">
        <f>VLOOKUP(E328,dimensao_bairro!A:B,2,FALSE)</f>
        <v>Portão</v>
      </c>
      <c r="G328" t="s">
        <v>6</v>
      </c>
      <c r="H328" s="5">
        <v>6.5</v>
      </c>
      <c r="I328" s="5">
        <v>1.9</v>
      </c>
      <c r="J328" t="str">
        <f t="shared" si="16"/>
        <v>Curta</v>
      </c>
      <c r="M328" t="str">
        <f>VLOOKUP(E328,dimensao_bairro!A:B,2,FALSE)</f>
        <v>Portão</v>
      </c>
      <c r="O328" t="str">
        <f>INDEX(dimensao_bairro!B:B,MATCH(tabela_origem!E328,dimensao_bairro!A:A,0))</f>
        <v>Portão</v>
      </c>
      <c r="P328" t="str">
        <f t="shared" si="17"/>
        <v>BAIXO</v>
      </c>
    </row>
    <row r="329" spans="1:16" x14ac:dyDescent="0.25">
      <c r="A329" s="1">
        <v>46090</v>
      </c>
      <c r="B329" t="s">
        <v>7</v>
      </c>
      <c r="C329" s="2">
        <v>0.80486111111111114</v>
      </c>
      <c r="D329" s="2" t="str">
        <f t="shared" si="15"/>
        <v>19h</v>
      </c>
      <c r="E329" t="s">
        <v>26</v>
      </c>
      <c r="F329" t="str">
        <f>VLOOKUP(E329,dimensao_bairro!A:B,2,FALSE)</f>
        <v>Portão</v>
      </c>
      <c r="G329" t="s">
        <v>24</v>
      </c>
      <c r="H329" s="5">
        <v>6.5</v>
      </c>
      <c r="I329" s="5">
        <v>1.1000000000000001</v>
      </c>
      <c r="J329" t="str">
        <f t="shared" si="16"/>
        <v>Curta</v>
      </c>
      <c r="M329" t="str">
        <f>VLOOKUP(E329,dimensao_bairro!A:B,2,FALSE)</f>
        <v>Portão</v>
      </c>
      <c r="O329" t="str">
        <f>INDEX(dimensao_bairro!B:B,MATCH(tabela_origem!E329,dimensao_bairro!A:A,0))</f>
        <v>Portão</v>
      </c>
      <c r="P329" t="str">
        <f t="shared" si="17"/>
        <v>BAIXO</v>
      </c>
    </row>
    <row r="330" spans="1:16" x14ac:dyDescent="0.25">
      <c r="A330" s="1">
        <v>46090</v>
      </c>
      <c r="B330" t="s">
        <v>7</v>
      </c>
      <c r="C330" s="2">
        <v>0.7416666666666667</v>
      </c>
      <c r="D330" s="2" t="str">
        <f t="shared" si="15"/>
        <v>17h</v>
      </c>
      <c r="E330" t="s">
        <v>24</v>
      </c>
      <c r="F330" t="str">
        <f>VLOOKUP(E330,dimensao_bairro!A:B,2,FALSE)</f>
        <v>Pinheirinho</v>
      </c>
      <c r="G330" t="s">
        <v>26</v>
      </c>
      <c r="H330" s="5">
        <v>6.5</v>
      </c>
      <c r="I330" s="5">
        <v>2.2000000000000002</v>
      </c>
      <c r="J330" t="str">
        <f t="shared" si="16"/>
        <v>Média</v>
      </c>
      <c r="M330" t="str">
        <f>VLOOKUP(E330,dimensao_bairro!A:B,2,FALSE)</f>
        <v>Pinheirinho</v>
      </c>
      <c r="O330" t="str">
        <f>INDEX(dimensao_bairro!B:B,MATCH(tabela_origem!E330,dimensao_bairro!A:A,0))</f>
        <v>Pinheirinho</v>
      </c>
      <c r="P330" t="str">
        <f t="shared" si="17"/>
        <v>BAIXO</v>
      </c>
    </row>
    <row r="331" spans="1:16" x14ac:dyDescent="0.25">
      <c r="A331" s="1">
        <v>46090</v>
      </c>
      <c r="B331" t="s">
        <v>7</v>
      </c>
      <c r="C331" s="2">
        <v>0.79583333333333339</v>
      </c>
      <c r="D331" s="2" t="str">
        <f t="shared" si="15"/>
        <v>19h</v>
      </c>
      <c r="E331" t="s">
        <v>6</v>
      </c>
      <c r="F331" t="str">
        <f>VLOOKUP(E331,dimensao_bairro!A:B,2,FALSE)</f>
        <v>Portão</v>
      </c>
      <c r="G331" t="s">
        <v>5</v>
      </c>
      <c r="H331" s="5">
        <v>6.5</v>
      </c>
      <c r="I331" s="5">
        <v>2.1</v>
      </c>
      <c r="J331" t="str">
        <f t="shared" si="16"/>
        <v>Média</v>
      </c>
      <c r="M331" t="str">
        <f>VLOOKUP(E331,dimensao_bairro!A:B,2,FALSE)</f>
        <v>Portão</v>
      </c>
      <c r="O331" t="str">
        <f>INDEX(dimensao_bairro!B:B,MATCH(tabela_origem!E331,dimensao_bairro!A:A,0))</f>
        <v>Portão</v>
      </c>
      <c r="P331" t="str">
        <f t="shared" si="17"/>
        <v>BAIXO</v>
      </c>
    </row>
    <row r="332" spans="1:16" x14ac:dyDescent="0.25">
      <c r="A332" s="1">
        <v>46090</v>
      </c>
      <c r="B332" t="s">
        <v>7</v>
      </c>
      <c r="C332" s="2">
        <v>0.81041666666666667</v>
      </c>
      <c r="D332" s="2" t="str">
        <f t="shared" si="15"/>
        <v>19h</v>
      </c>
      <c r="E332" t="s">
        <v>6</v>
      </c>
      <c r="F332" t="str">
        <f>VLOOKUP(E332,dimensao_bairro!A:B,2,FALSE)</f>
        <v>Portão</v>
      </c>
      <c r="G332" t="s">
        <v>6</v>
      </c>
      <c r="H332" s="5">
        <v>6.5</v>
      </c>
      <c r="I332" s="5">
        <v>3</v>
      </c>
      <c r="J332" t="str">
        <f t="shared" si="16"/>
        <v>Média</v>
      </c>
      <c r="M332" t="str">
        <f>VLOOKUP(E332,dimensao_bairro!A:B,2,FALSE)</f>
        <v>Portão</v>
      </c>
      <c r="O332" t="str">
        <f>INDEX(dimensao_bairro!B:B,MATCH(tabela_origem!E332,dimensao_bairro!A:A,0))</f>
        <v>Portão</v>
      </c>
      <c r="P332" t="str">
        <f t="shared" si="17"/>
        <v>BAIXO</v>
      </c>
    </row>
    <row r="333" spans="1:16" x14ac:dyDescent="0.25">
      <c r="A333" s="1">
        <v>46091</v>
      </c>
      <c r="B333" t="s">
        <v>7</v>
      </c>
      <c r="C333" s="2">
        <v>0.75694444444444453</v>
      </c>
      <c r="D333" s="2" t="str">
        <f t="shared" si="15"/>
        <v>18h</v>
      </c>
      <c r="E333" t="s">
        <v>30</v>
      </c>
      <c r="F333" t="str">
        <f>VLOOKUP(E333,dimensao_bairro!A:B,2,FALSE)</f>
        <v>Portão</v>
      </c>
      <c r="G333" t="s">
        <v>31</v>
      </c>
      <c r="H333" s="5">
        <v>12</v>
      </c>
      <c r="I333" s="5">
        <v>3.9</v>
      </c>
      <c r="J333" t="str">
        <f t="shared" si="16"/>
        <v>Média</v>
      </c>
      <c r="M333" t="str">
        <f>VLOOKUP(E333,dimensao_bairro!A:B,2,FALSE)</f>
        <v>Portão</v>
      </c>
      <c r="O333" t="str">
        <f>INDEX(dimensao_bairro!B:B,MATCH(tabela_origem!E333,dimensao_bairro!A:A,0))</f>
        <v>Portão</v>
      </c>
      <c r="P333" t="str">
        <f t="shared" si="17"/>
        <v>ALTO</v>
      </c>
    </row>
    <row r="334" spans="1:16" x14ac:dyDescent="0.25">
      <c r="A334" s="1">
        <v>46091</v>
      </c>
      <c r="B334" t="s">
        <v>7</v>
      </c>
      <c r="C334" s="2">
        <v>0.73541666666666661</v>
      </c>
      <c r="D334" s="2" t="str">
        <f t="shared" si="15"/>
        <v>17h</v>
      </c>
      <c r="E334" t="s">
        <v>30</v>
      </c>
      <c r="F334" t="str">
        <f>VLOOKUP(E334,dimensao_bairro!A:B,2,FALSE)</f>
        <v>Portão</v>
      </c>
      <c r="G334" t="s">
        <v>30</v>
      </c>
      <c r="H334" s="5">
        <v>10.9</v>
      </c>
      <c r="I334" s="5">
        <v>2.6</v>
      </c>
      <c r="J334" t="str">
        <f t="shared" si="16"/>
        <v>Média</v>
      </c>
      <c r="M334" t="str">
        <f>VLOOKUP(E334,dimensao_bairro!A:B,2,FALSE)</f>
        <v>Portão</v>
      </c>
      <c r="O334" t="str">
        <f>INDEX(dimensao_bairro!B:B,MATCH(tabela_origem!E334,dimensao_bairro!A:A,0))</f>
        <v>Portão</v>
      </c>
      <c r="P334" t="str">
        <f t="shared" si="17"/>
        <v>ALTO</v>
      </c>
    </row>
    <row r="335" spans="1:16" x14ac:dyDescent="0.25">
      <c r="A335" s="1">
        <v>46091</v>
      </c>
      <c r="B335" t="s">
        <v>7</v>
      </c>
      <c r="C335" s="2">
        <v>0.69652777777777775</v>
      </c>
      <c r="D335" s="2" t="str">
        <f t="shared" si="15"/>
        <v>16h</v>
      </c>
      <c r="E335" t="s">
        <v>9</v>
      </c>
      <c r="F335" t="str">
        <f>VLOOKUP(E335,dimensao_bairro!A:B,2,FALSE)</f>
        <v>Portão</v>
      </c>
      <c r="G335" t="s">
        <v>9</v>
      </c>
      <c r="H335" s="5">
        <v>9.1999999999999993</v>
      </c>
      <c r="I335" s="5">
        <v>2.8</v>
      </c>
      <c r="J335" t="str">
        <f t="shared" si="16"/>
        <v>Média</v>
      </c>
      <c r="M335" t="str">
        <f>VLOOKUP(E335,dimensao_bairro!A:B,2,FALSE)</f>
        <v>Portão</v>
      </c>
      <c r="O335" t="str">
        <f>INDEX(dimensao_bairro!B:B,MATCH(tabela_origem!E335,dimensao_bairro!A:A,0))</f>
        <v>Portão</v>
      </c>
      <c r="P335" t="str">
        <f t="shared" si="17"/>
        <v>MÉDIO</v>
      </c>
    </row>
    <row r="336" spans="1:16" x14ac:dyDescent="0.25">
      <c r="A336" s="1">
        <v>46091</v>
      </c>
      <c r="B336" t="s">
        <v>7</v>
      </c>
      <c r="C336" s="2">
        <v>0.6791666666666667</v>
      </c>
      <c r="D336" s="2" t="str">
        <f t="shared" si="15"/>
        <v>16h</v>
      </c>
      <c r="E336" t="s">
        <v>9</v>
      </c>
      <c r="F336" t="str">
        <f>VLOOKUP(E336,dimensao_bairro!A:B,2,FALSE)</f>
        <v>Portão</v>
      </c>
      <c r="G336" t="s">
        <v>5</v>
      </c>
      <c r="H336" s="5">
        <v>7.5</v>
      </c>
      <c r="I336" s="5">
        <v>2.9</v>
      </c>
      <c r="J336" t="str">
        <f t="shared" si="16"/>
        <v>Média</v>
      </c>
      <c r="M336" t="str">
        <f>VLOOKUP(E336,dimensao_bairro!A:B,2,FALSE)</f>
        <v>Portão</v>
      </c>
      <c r="O336" t="str">
        <f>INDEX(dimensao_bairro!B:B,MATCH(tabela_origem!E336,dimensao_bairro!A:A,0))</f>
        <v>Portão</v>
      </c>
      <c r="P336" t="str">
        <f t="shared" si="17"/>
        <v>MÉDIO</v>
      </c>
    </row>
    <row r="337" spans="1:16" x14ac:dyDescent="0.25">
      <c r="A337" s="1">
        <v>46091</v>
      </c>
      <c r="B337" t="s">
        <v>7</v>
      </c>
      <c r="C337" s="2">
        <v>0.63680555555555551</v>
      </c>
      <c r="D337" s="2" t="str">
        <f t="shared" si="15"/>
        <v>15h</v>
      </c>
      <c r="E337" t="s">
        <v>5</v>
      </c>
      <c r="F337" t="str">
        <f>VLOOKUP(E337,dimensao_bairro!A:B,2,FALSE)</f>
        <v>Portão</v>
      </c>
      <c r="G337" t="s">
        <v>9</v>
      </c>
      <c r="H337" s="5">
        <v>6.9</v>
      </c>
      <c r="I337" s="5">
        <v>0.6</v>
      </c>
      <c r="J337" t="str">
        <f t="shared" si="16"/>
        <v>Curta</v>
      </c>
      <c r="M337" t="str">
        <f>VLOOKUP(E337,dimensao_bairro!A:B,2,FALSE)</f>
        <v>Portão</v>
      </c>
      <c r="O337" t="str">
        <f>INDEX(dimensao_bairro!B:B,MATCH(tabela_origem!E337,dimensao_bairro!A:A,0))</f>
        <v>Portão</v>
      </c>
      <c r="P337" t="str">
        <f t="shared" si="17"/>
        <v>BAIXO</v>
      </c>
    </row>
    <row r="338" spans="1:16" x14ac:dyDescent="0.25">
      <c r="A338" s="1">
        <v>46091</v>
      </c>
      <c r="B338" t="s">
        <v>7</v>
      </c>
      <c r="C338" s="2">
        <v>0.67569444444444438</v>
      </c>
      <c r="D338" s="2" t="str">
        <f t="shared" si="15"/>
        <v>16h</v>
      </c>
      <c r="E338" t="s">
        <v>9</v>
      </c>
      <c r="F338" t="str">
        <f>VLOOKUP(E338,dimensao_bairro!A:B,2,FALSE)</f>
        <v>Portão</v>
      </c>
      <c r="G338" t="s">
        <v>9</v>
      </c>
      <c r="H338" s="5">
        <v>6.7</v>
      </c>
      <c r="I338" s="5">
        <v>2.5</v>
      </c>
      <c r="J338" t="str">
        <f t="shared" si="16"/>
        <v>Média</v>
      </c>
      <c r="M338" t="str">
        <f>VLOOKUP(E338,dimensao_bairro!A:B,2,FALSE)</f>
        <v>Portão</v>
      </c>
      <c r="O338" t="str">
        <f>INDEX(dimensao_bairro!B:B,MATCH(tabela_origem!E338,dimensao_bairro!A:A,0))</f>
        <v>Portão</v>
      </c>
      <c r="P338" t="str">
        <f t="shared" si="17"/>
        <v>BAIXO</v>
      </c>
    </row>
    <row r="339" spans="1:16" x14ac:dyDescent="0.25">
      <c r="A339" s="1">
        <v>46091</v>
      </c>
      <c r="B339" t="s">
        <v>7</v>
      </c>
      <c r="C339" s="2">
        <v>0.7909722222222223</v>
      </c>
      <c r="D339" s="2" t="str">
        <f t="shared" si="15"/>
        <v>18h</v>
      </c>
      <c r="E339" t="s">
        <v>8</v>
      </c>
      <c r="F339" t="str">
        <f>VLOOKUP(E339,dimensao_bairro!A:B,2,FALSE)</f>
        <v>Portão</v>
      </c>
      <c r="G339" t="s">
        <v>9</v>
      </c>
      <c r="H339" s="5">
        <v>6.6</v>
      </c>
      <c r="I339" s="5">
        <v>2.7</v>
      </c>
      <c r="J339" t="str">
        <f t="shared" si="16"/>
        <v>Média</v>
      </c>
      <c r="M339" t="str">
        <f>VLOOKUP(E339,dimensao_bairro!A:B,2,FALSE)</f>
        <v>Portão</v>
      </c>
      <c r="O339" t="str">
        <f>INDEX(dimensao_bairro!B:B,MATCH(tabela_origem!E339,dimensao_bairro!A:A,0))</f>
        <v>Portão</v>
      </c>
      <c r="P339" t="str">
        <f t="shared" si="17"/>
        <v>BAIXO</v>
      </c>
    </row>
    <row r="340" spans="1:16" x14ac:dyDescent="0.25">
      <c r="A340" s="1">
        <v>46091</v>
      </c>
      <c r="B340" t="s">
        <v>7</v>
      </c>
      <c r="C340" s="2">
        <v>0.69097222222222221</v>
      </c>
      <c r="D340" s="2" t="str">
        <f t="shared" si="15"/>
        <v>16h</v>
      </c>
      <c r="E340" t="s">
        <v>9</v>
      </c>
      <c r="F340" t="str">
        <f>VLOOKUP(E340,dimensao_bairro!A:B,2,FALSE)</f>
        <v>Portão</v>
      </c>
      <c r="G340" t="s">
        <v>10</v>
      </c>
      <c r="H340" s="5">
        <v>6.5</v>
      </c>
      <c r="I340" s="5">
        <v>1.7</v>
      </c>
      <c r="J340" t="str">
        <f t="shared" si="16"/>
        <v>Curta</v>
      </c>
      <c r="M340" t="str">
        <f>VLOOKUP(E340,dimensao_bairro!A:B,2,FALSE)</f>
        <v>Portão</v>
      </c>
      <c r="O340" t="str">
        <f>INDEX(dimensao_bairro!B:B,MATCH(tabela_origem!E340,dimensao_bairro!A:A,0))</f>
        <v>Portão</v>
      </c>
      <c r="P340" t="str">
        <f t="shared" si="17"/>
        <v>BAIXO</v>
      </c>
    </row>
    <row r="341" spans="1:16" x14ac:dyDescent="0.25">
      <c r="A341" s="1">
        <v>46091</v>
      </c>
      <c r="B341" t="s">
        <v>7</v>
      </c>
      <c r="C341" s="2">
        <v>0.66666666666666663</v>
      </c>
      <c r="D341" s="2" t="str">
        <f t="shared" si="15"/>
        <v>16h</v>
      </c>
      <c r="E341" t="s">
        <v>13</v>
      </c>
      <c r="F341" t="str">
        <f>VLOOKUP(E341,dimensao_bairro!A:B,2,FALSE)</f>
        <v>Matriz</v>
      </c>
      <c r="G341" t="s">
        <v>9</v>
      </c>
      <c r="H341" s="5">
        <v>6.5</v>
      </c>
      <c r="I341" s="5">
        <v>1.5</v>
      </c>
      <c r="J341" t="str">
        <f t="shared" si="16"/>
        <v>Curta</v>
      </c>
      <c r="M341" t="str">
        <f>VLOOKUP(E341,dimensao_bairro!A:B,2,FALSE)</f>
        <v>Matriz</v>
      </c>
      <c r="O341" t="str">
        <f>INDEX(dimensao_bairro!B:B,MATCH(tabela_origem!E341,dimensao_bairro!A:A,0))</f>
        <v>Matriz</v>
      </c>
      <c r="P341" t="str">
        <f t="shared" si="17"/>
        <v>BAIXO</v>
      </c>
    </row>
    <row r="342" spans="1:16" x14ac:dyDescent="0.25">
      <c r="A342" s="1">
        <v>46091</v>
      </c>
      <c r="B342" t="s">
        <v>7</v>
      </c>
      <c r="C342" s="2">
        <v>0.66805555555555562</v>
      </c>
      <c r="D342" s="2" t="str">
        <f t="shared" si="15"/>
        <v>16h</v>
      </c>
      <c r="E342" t="s">
        <v>5</v>
      </c>
      <c r="F342" t="str">
        <f>VLOOKUP(E342,dimensao_bairro!A:B,2,FALSE)</f>
        <v>Portão</v>
      </c>
      <c r="G342" t="s">
        <v>6</v>
      </c>
      <c r="H342" s="5">
        <v>6.5</v>
      </c>
      <c r="I342" s="5">
        <v>2.2999999999999998</v>
      </c>
      <c r="J342" t="str">
        <f t="shared" si="16"/>
        <v>Média</v>
      </c>
      <c r="M342" t="str">
        <f>VLOOKUP(E342,dimensao_bairro!A:B,2,FALSE)</f>
        <v>Portão</v>
      </c>
      <c r="O342" t="str">
        <f>INDEX(dimensao_bairro!B:B,MATCH(tabela_origem!E342,dimensao_bairro!A:A,0))</f>
        <v>Portão</v>
      </c>
      <c r="P342" t="str">
        <f t="shared" si="17"/>
        <v>BAIXO</v>
      </c>
    </row>
    <row r="343" spans="1:16" x14ac:dyDescent="0.25">
      <c r="A343" s="1">
        <v>46091</v>
      </c>
      <c r="B343" t="s">
        <v>7</v>
      </c>
      <c r="C343" s="2">
        <v>0.80625000000000002</v>
      </c>
      <c r="D343" s="2" t="str">
        <f t="shared" si="15"/>
        <v>19h</v>
      </c>
      <c r="E343" t="s">
        <v>5</v>
      </c>
      <c r="F343" t="str">
        <f>VLOOKUP(E343,dimensao_bairro!A:B,2,FALSE)</f>
        <v>Portão</v>
      </c>
      <c r="G343" t="s">
        <v>26</v>
      </c>
      <c r="H343" s="5">
        <v>6.5</v>
      </c>
      <c r="I343" s="5">
        <v>1.2</v>
      </c>
      <c r="J343" t="str">
        <f t="shared" si="16"/>
        <v>Curta</v>
      </c>
      <c r="M343" t="str">
        <f>VLOOKUP(E343,dimensao_bairro!A:B,2,FALSE)</f>
        <v>Portão</v>
      </c>
      <c r="O343" t="str">
        <f>INDEX(dimensao_bairro!B:B,MATCH(tabela_origem!E343,dimensao_bairro!A:A,0))</f>
        <v>Portão</v>
      </c>
      <c r="P343" t="str">
        <f t="shared" si="17"/>
        <v>BAIXO</v>
      </c>
    </row>
    <row r="344" spans="1:16" x14ac:dyDescent="0.25">
      <c r="A344" s="1">
        <v>46091</v>
      </c>
      <c r="B344" t="s">
        <v>7</v>
      </c>
      <c r="C344" s="2">
        <v>0.78749999999999998</v>
      </c>
      <c r="D344" s="2" t="str">
        <f t="shared" si="15"/>
        <v>18h</v>
      </c>
      <c r="E344" t="s">
        <v>26</v>
      </c>
      <c r="F344" t="str">
        <f>VLOOKUP(E344,dimensao_bairro!A:B,2,FALSE)</f>
        <v>Portão</v>
      </c>
      <c r="G344" t="s">
        <v>26</v>
      </c>
      <c r="H344" s="5">
        <v>6.5</v>
      </c>
      <c r="I344" s="5">
        <v>2.1</v>
      </c>
      <c r="J344" t="str">
        <f t="shared" si="16"/>
        <v>Média</v>
      </c>
      <c r="M344" t="str">
        <f>VLOOKUP(E344,dimensao_bairro!A:B,2,FALSE)</f>
        <v>Portão</v>
      </c>
      <c r="O344" t="str">
        <f>INDEX(dimensao_bairro!B:B,MATCH(tabela_origem!E344,dimensao_bairro!A:A,0))</f>
        <v>Portão</v>
      </c>
      <c r="P344" t="str">
        <f t="shared" si="17"/>
        <v>BAIXO</v>
      </c>
    </row>
    <row r="345" spans="1:16" x14ac:dyDescent="0.25">
      <c r="A345" s="1">
        <v>46091</v>
      </c>
      <c r="B345" t="s">
        <v>7</v>
      </c>
      <c r="C345" s="2">
        <v>0.77569444444444446</v>
      </c>
      <c r="D345" s="2" t="str">
        <f t="shared" si="15"/>
        <v>18h</v>
      </c>
      <c r="E345" t="s">
        <v>6</v>
      </c>
      <c r="F345" t="str">
        <f>VLOOKUP(E345,dimensao_bairro!A:B,2,FALSE)</f>
        <v>Portão</v>
      </c>
      <c r="G345" t="s">
        <v>14</v>
      </c>
      <c r="H345" s="5">
        <v>6.5</v>
      </c>
      <c r="I345" s="5">
        <v>2</v>
      </c>
      <c r="J345" t="str">
        <f t="shared" si="16"/>
        <v>Curta</v>
      </c>
      <c r="M345" t="str">
        <f>VLOOKUP(E345,dimensao_bairro!A:B,2,FALSE)</f>
        <v>Portão</v>
      </c>
      <c r="O345" t="str">
        <f>INDEX(dimensao_bairro!B:B,MATCH(tabela_origem!E345,dimensao_bairro!A:A,0))</f>
        <v>Portão</v>
      </c>
      <c r="P345" t="str">
        <f t="shared" si="17"/>
        <v>BAIXO</v>
      </c>
    </row>
    <row r="346" spans="1:16" x14ac:dyDescent="0.25">
      <c r="A346" s="1">
        <v>46092</v>
      </c>
      <c r="B346" t="s">
        <v>7</v>
      </c>
      <c r="C346" s="2">
        <v>0.72430555555555554</v>
      </c>
      <c r="D346" s="2" t="str">
        <f t="shared" si="15"/>
        <v>17h</v>
      </c>
      <c r="E346" t="s">
        <v>12</v>
      </c>
      <c r="F346" t="str">
        <f>VLOOKUP(E346,dimensao_bairro!A:B,2,FALSE)</f>
        <v>Portão</v>
      </c>
      <c r="G346" t="s">
        <v>23</v>
      </c>
      <c r="H346" s="5">
        <v>16.7</v>
      </c>
      <c r="I346" s="5">
        <v>7.4</v>
      </c>
      <c r="J346" t="str">
        <f t="shared" si="16"/>
        <v>Longa</v>
      </c>
      <c r="M346" t="str">
        <f>VLOOKUP(E346,dimensao_bairro!A:B,2,FALSE)</f>
        <v>Portão</v>
      </c>
      <c r="O346" t="str">
        <f>INDEX(dimensao_bairro!B:B,MATCH(tabela_origem!E346,dimensao_bairro!A:A,0))</f>
        <v>Portão</v>
      </c>
      <c r="P346" t="str">
        <f t="shared" si="17"/>
        <v>ALTO</v>
      </c>
    </row>
    <row r="347" spans="1:16" x14ac:dyDescent="0.25">
      <c r="A347" s="1">
        <v>46092</v>
      </c>
      <c r="B347" t="s">
        <v>7</v>
      </c>
      <c r="C347" s="2">
        <v>0.79305555555555562</v>
      </c>
      <c r="D347" s="2" t="str">
        <f t="shared" si="15"/>
        <v>19h</v>
      </c>
      <c r="E347" t="s">
        <v>10</v>
      </c>
      <c r="F347" t="str">
        <f>VLOOKUP(E347,dimensao_bairro!A:B,2,FALSE)</f>
        <v>Portão</v>
      </c>
      <c r="G347" t="s">
        <v>15</v>
      </c>
      <c r="H347" s="5">
        <v>13.6</v>
      </c>
      <c r="I347" s="5">
        <v>6.5</v>
      </c>
      <c r="J347" t="str">
        <f t="shared" si="16"/>
        <v>Longa</v>
      </c>
      <c r="M347" t="str">
        <f>VLOOKUP(E347,dimensao_bairro!A:B,2,FALSE)</f>
        <v>Portão</v>
      </c>
      <c r="O347" t="str">
        <f>INDEX(dimensao_bairro!B:B,MATCH(tabela_origem!E347,dimensao_bairro!A:A,0))</f>
        <v>Portão</v>
      </c>
      <c r="P347" t="str">
        <f t="shared" si="17"/>
        <v>ALTO</v>
      </c>
    </row>
    <row r="348" spans="1:16" x14ac:dyDescent="0.25">
      <c r="A348" s="1">
        <v>46092</v>
      </c>
      <c r="B348" t="s">
        <v>7</v>
      </c>
      <c r="C348" s="2">
        <v>0.74861111111111101</v>
      </c>
      <c r="D348" s="2" t="str">
        <f t="shared" si="15"/>
        <v>17h</v>
      </c>
      <c r="E348" t="s">
        <v>15</v>
      </c>
      <c r="F348" t="str">
        <f>VLOOKUP(E348,dimensao_bairro!A:B,2,FALSE)</f>
        <v>Boqueirão</v>
      </c>
      <c r="G348" t="s">
        <v>10</v>
      </c>
      <c r="H348" s="5">
        <v>12.6</v>
      </c>
      <c r="I348" s="5">
        <v>2.2999999999999998</v>
      </c>
      <c r="J348" t="str">
        <f t="shared" si="16"/>
        <v>Média</v>
      </c>
      <c r="M348" t="str">
        <f>VLOOKUP(E348,dimensao_bairro!A:B,2,FALSE)</f>
        <v>Boqueirão</v>
      </c>
      <c r="O348" t="str">
        <f>INDEX(dimensao_bairro!B:B,MATCH(tabela_origem!E348,dimensao_bairro!A:A,0))</f>
        <v>Boqueirão</v>
      </c>
      <c r="P348" t="str">
        <f t="shared" si="17"/>
        <v>ALTO</v>
      </c>
    </row>
    <row r="349" spans="1:16" x14ac:dyDescent="0.25">
      <c r="A349" s="1">
        <v>46092</v>
      </c>
      <c r="B349" t="s">
        <v>7</v>
      </c>
      <c r="C349" s="2">
        <v>0.78680555555555554</v>
      </c>
      <c r="D349" s="2" t="str">
        <f t="shared" si="15"/>
        <v>18h</v>
      </c>
      <c r="E349" t="s">
        <v>27</v>
      </c>
      <c r="F349" t="str">
        <f>VLOOKUP(E349,dimensao_bairro!A:B,2,FALSE)</f>
        <v>Pinheirinho</v>
      </c>
      <c r="G349" t="s">
        <v>15</v>
      </c>
      <c r="H349" s="5">
        <v>10.199999999999999</v>
      </c>
      <c r="I349" s="5">
        <v>5</v>
      </c>
      <c r="J349" t="str">
        <f t="shared" si="16"/>
        <v>Longa</v>
      </c>
      <c r="M349" t="str">
        <f>VLOOKUP(E349,dimensao_bairro!A:B,2,FALSE)</f>
        <v>Pinheirinho</v>
      </c>
      <c r="O349" t="str">
        <f>INDEX(dimensao_bairro!B:B,MATCH(tabela_origem!E349,dimensao_bairro!A:A,0))</f>
        <v>Pinheirinho</v>
      </c>
      <c r="P349" t="str">
        <f t="shared" si="17"/>
        <v>ALTO</v>
      </c>
    </row>
    <row r="350" spans="1:16" x14ac:dyDescent="0.25">
      <c r="A350" s="1">
        <v>46092</v>
      </c>
      <c r="B350" t="s">
        <v>7</v>
      </c>
      <c r="C350" s="2">
        <v>0.81041666666666667</v>
      </c>
      <c r="D350" s="2" t="str">
        <f t="shared" si="15"/>
        <v>19h</v>
      </c>
      <c r="E350" t="s">
        <v>15</v>
      </c>
      <c r="F350" t="str">
        <f>VLOOKUP(E350,dimensao_bairro!A:B,2,FALSE)</f>
        <v>Boqueirão</v>
      </c>
      <c r="G350" t="s">
        <v>12</v>
      </c>
      <c r="H350" s="5">
        <v>9.1</v>
      </c>
      <c r="I350" s="5">
        <v>4.4000000000000004</v>
      </c>
      <c r="J350" t="str">
        <f t="shared" si="16"/>
        <v>Longa</v>
      </c>
      <c r="M350" t="str">
        <f>VLOOKUP(E350,dimensao_bairro!A:B,2,FALSE)</f>
        <v>Boqueirão</v>
      </c>
      <c r="O350" t="str">
        <f>INDEX(dimensao_bairro!B:B,MATCH(tabela_origem!E350,dimensao_bairro!A:A,0))</f>
        <v>Boqueirão</v>
      </c>
      <c r="P350" t="str">
        <f t="shared" si="17"/>
        <v>MÉDIO</v>
      </c>
    </row>
    <row r="351" spans="1:16" x14ac:dyDescent="0.25">
      <c r="A351" s="1">
        <v>46092</v>
      </c>
      <c r="B351" t="s">
        <v>7</v>
      </c>
      <c r="C351" s="2">
        <v>0.71944444444444444</v>
      </c>
      <c r="D351" s="2" t="str">
        <f t="shared" si="15"/>
        <v>17h</v>
      </c>
      <c r="E351" t="s">
        <v>10</v>
      </c>
      <c r="F351" t="str">
        <f>VLOOKUP(E351,dimensao_bairro!A:B,2,FALSE)</f>
        <v>Portão</v>
      </c>
      <c r="G351" t="s">
        <v>15</v>
      </c>
      <c r="H351" s="5">
        <v>8.3000000000000007</v>
      </c>
      <c r="I351" s="5">
        <v>1.4</v>
      </c>
      <c r="J351" t="str">
        <f t="shared" si="16"/>
        <v>Curta</v>
      </c>
      <c r="M351" t="str">
        <f>VLOOKUP(E351,dimensao_bairro!A:B,2,FALSE)</f>
        <v>Portão</v>
      </c>
      <c r="O351" t="str">
        <f>INDEX(dimensao_bairro!B:B,MATCH(tabela_origem!E351,dimensao_bairro!A:A,0))</f>
        <v>Portão</v>
      </c>
      <c r="P351" t="str">
        <f t="shared" si="17"/>
        <v>MÉDIO</v>
      </c>
    </row>
    <row r="352" spans="1:16" x14ac:dyDescent="0.25">
      <c r="A352" s="1">
        <v>46092</v>
      </c>
      <c r="B352" t="s">
        <v>7</v>
      </c>
      <c r="C352" s="2">
        <v>0.76736111111111116</v>
      </c>
      <c r="D352" s="2" t="str">
        <f t="shared" si="15"/>
        <v>18h</v>
      </c>
      <c r="E352" t="s">
        <v>15</v>
      </c>
      <c r="F352" t="str">
        <f>VLOOKUP(E352,dimensao_bairro!A:B,2,FALSE)</f>
        <v>Boqueirão</v>
      </c>
      <c r="G352" t="s">
        <v>5</v>
      </c>
      <c r="H352" s="5">
        <v>7.7</v>
      </c>
      <c r="I352" s="5">
        <v>2.2999999999999998</v>
      </c>
      <c r="J352" t="str">
        <f t="shared" si="16"/>
        <v>Média</v>
      </c>
      <c r="M352" t="str">
        <f>VLOOKUP(E352,dimensao_bairro!A:B,2,FALSE)</f>
        <v>Boqueirão</v>
      </c>
      <c r="O352" t="str">
        <f>INDEX(dimensao_bairro!B:B,MATCH(tabela_origem!E352,dimensao_bairro!A:A,0))</f>
        <v>Boqueirão</v>
      </c>
      <c r="P352" t="str">
        <f t="shared" si="17"/>
        <v>MÉDIO</v>
      </c>
    </row>
    <row r="353" spans="1:16" x14ac:dyDescent="0.25">
      <c r="A353" s="1">
        <v>46092</v>
      </c>
      <c r="B353" t="s">
        <v>7</v>
      </c>
      <c r="C353" s="2">
        <v>0.7006944444444444</v>
      </c>
      <c r="D353" s="2" t="str">
        <f t="shared" si="15"/>
        <v>16h</v>
      </c>
      <c r="E353" t="s">
        <v>5</v>
      </c>
      <c r="F353" t="str">
        <f>VLOOKUP(E353,dimensao_bairro!A:B,2,FALSE)</f>
        <v>Portão</v>
      </c>
      <c r="G353" t="s">
        <v>15</v>
      </c>
      <c r="H353" s="5">
        <v>7.56</v>
      </c>
      <c r="I353" s="5">
        <v>3.8</v>
      </c>
      <c r="J353" t="str">
        <f t="shared" si="16"/>
        <v>Média</v>
      </c>
      <c r="M353" t="str">
        <f>VLOOKUP(E353,dimensao_bairro!A:B,2,FALSE)</f>
        <v>Portão</v>
      </c>
      <c r="O353" t="str">
        <f>INDEX(dimensao_bairro!B:B,MATCH(tabela_origem!E353,dimensao_bairro!A:A,0))</f>
        <v>Portão</v>
      </c>
      <c r="P353" t="str">
        <f t="shared" si="17"/>
        <v>MÉDIO</v>
      </c>
    </row>
    <row r="354" spans="1:16" x14ac:dyDescent="0.25">
      <c r="A354" s="1">
        <v>46092</v>
      </c>
      <c r="B354" t="s">
        <v>7</v>
      </c>
      <c r="C354" s="2">
        <v>0.75486111111111109</v>
      </c>
      <c r="D354" s="2" t="str">
        <f t="shared" si="15"/>
        <v>18h</v>
      </c>
      <c r="E354" t="s">
        <v>15</v>
      </c>
      <c r="F354" t="str">
        <f>VLOOKUP(E354,dimensao_bairro!A:B,2,FALSE)</f>
        <v>Boqueirão</v>
      </c>
      <c r="G354" t="s">
        <v>10</v>
      </c>
      <c r="H354" s="5">
        <v>7</v>
      </c>
      <c r="I354" s="5">
        <v>1.2</v>
      </c>
      <c r="J354" t="str">
        <f t="shared" si="16"/>
        <v>Curta</v>
      </c>
      <c r="M354" t="str">
        <f>VLOOKUP(E354,dimensao_bairro!A:B,2,FALSE)</f>
        <v>Boqueirão</v>
      </c>
      <c r="O354" t="str">
        <f>INDEX(dimensao_bairro!B:B,MATCH(tabela_origem!E354,dimensao_bairro!A:A,0))</f>
        <v>Boqueirão</v>
      </c>
      <c r="P354" t="str">
        <f t="shared" si="17"/>
        <v>MÉDIO</v>
      </c>
    </row>
    <row r="355" spans="1:16" x14ac:dyDescent="0.25">
      <c r="A355" s="1">
        <v>46092</v>
      </c>
      <c r="B355" t="s">
        <v>7</v>
      </c>
      <c r="C355" s="2">
        <v>0.6972222222222223</v>
      </c>
      <c r="D355" s="2" t="str">
        <f t="shared" si="15"/>
        <v>16h</v>
      </c>
      <c r="E355" t="s">
        <v>5</v>
      </c>
      <c r="F355" t="str">
        <f>VLOOKUP(E355,dimensao_bairro!A:B,2,FALSE)</f>
        <v>Portão</v>
      </c>
      <c r="G355" t="s">
        <v>23</v>
      </c>
      <c r="H355" s="5">
        <v>7</v>
      </c>
      <c r="I355" s="5">
        <v>0.9</v>
      </c>
      <c r="J355" t="str">
        <f t="shared" si="16"/>
        <v>Curta</v>
      </c>
      <c r="M355" t="str">
        <f>VLOOKUP(E355,dimensao_bairro!A:B,2,FALSE)</f>
        <v>Portão</v>
      </c>
      <c r="O355" t="str">
        <f>INDEX(dimensao_bairro!B:B,MATCH(tabela_origem!E355,dimensao_bairro!A:A,0))</f>
        <v>Portão</v>
      </c>
      <c r="P355" t="str">
        <f t="shared" si="17"/>
        <v>MÉDIO</v>
      </c>
    </row>
    <row r="356" spans="1:16" x14ac:dyDescent="0.25">
      <c r="A356" s="1">
        <v>46092</v>
      </c>
      <c r="B356" t="s">
        <v>7</v>
      </c>
      <c r="C356" s="2">
        <v>0.8305555555555556</v>
      </c>
      <c r="D356" s="2" t="str">
        <f t="shared" si="15"/>
        <v>19h</v>
      </c>
      <c r="E356" t="s">
        <v>23</v>
      </c>
      <c r="F356" t="str">
        <f>VLOOKUP(E356,dimensao_bairro!A:B,2,FALSE)</f>
        <v>Boqueirão</v>
      </c>
      <c r="G356" t="s">
        <v>15</v>
      </c>
      <c r="H356" s="5">
        <v>6.8</v>
      </c>
      <c r="I356" s="5">
        <v>1.6</v>
      </c>
      <c r="J356" t="str">
        <f t="shared" si="16"/>
        <v>Curta</v>
      </c>
      <c r="M356" t="str">
        <f>VLOOKUP(E356,dimensao_bairro!A:B,2,FALSE)</f>
        <v>Boqueirão</v>
      </c>
      <c r="O356" t="str">
        <f>INDEX(dimensao_bairro!B:B,MATCH(tabela_origem!E356,dimensao_bairro!A:A,0))</f>
        <v>Boqueirão</v>
      </c>
      <c r="P356" t="str">
        <f t="shared" si="17"/>
        <v>BAIXO</v>
      </c>
    </row>
    <row r="357" spans="1:16" x14ac:dyDescent="0.25">
      <c r="A357" s="1">
        <v>46092</v>
      </c>
      <c r="B357" t="s">
        <v>7</v>
      </c>
      <c r="C357" s="2">
        <v>0.76180555555555562</v>
      </c>
      <c r="D357" s="2" t="str">
        <f t="shared" si="15"/>
        <v>18h</v>
      </c>
      <c r="E357" t="s">
        <v>15</v>
      </c>
      <c r="F357" t="str">
        <f>VLOOKUP(E357,dimensao_bairro!A:B,2,FALSE)</f>
        <v>Boqueirão</v>
      </c>
      <c r="G357" t="s">
        <v>11</v>
      </c>
      <c r="H357" s="5">
        <v>6.6</v>
      </c>
      <c r="I357" s="5">
        <v>1.9</v>
      </c>
      <c r="J357" t="str">
        <f t="shared" si="16"/>
        <v>Curta</v>
      </c>
      <c r="M357" t="str">
        <f>VLOOKUP(E357,dimensao_bairro!A:B,2,FALSE)</f>
        <v>Boqueirão</v>
      </c>
      <c r="O357" t="str">
        <f>INDEX(dimensao_bairro!B:B,MATCH(tabela_origem!E357,dimensao_bairro!A:A,0))</f>
        <v>Boqueirão</v>
      </c>
      <c r="P357" t="str">
        <f t="shared" si="17"/>
        <v>BAIXO</v>
      </c>
    </row>
    <row r="358" spans="1:16" x14ac:dyDescent="0.25">
      <c r="A358" s="1">
        <v>46092</v>
      </c>
      <c r="B358" t="s">
        <v>7</v>
      </c>
      <c r="C358" s="2">
        <v>0.67152777777777783</v>
      </c>
      <c r="D358" s="2" t="str">
        <f t="shared" si="15"/>
        <v>16h</v>
      </c>
      <c r="E358" t="s">
        <v>15</v>
      </c>
      <c r="F358" t="str">
        <f>VLOOKUP(E358,dimensao_bairro!A:B,2,FALSE)</f>
        <v>Boqueirão</v>
      </c>
      <c r="G358" t="s">
        <v>23</v>
      </c>
      <c r="H358" s="5">
        <v>6.5</v>
      </c>
      <c r="I358" s="5">
        <v>2.1</v>
      </c>
      <c r="J358" t="str">
        <f t="shared" si="16"/>
        <v>Média</v>
      </c>
      <c r="M358" t="str">
        <f>VLOOKUP(E358,dimensao_bairro!A:B,2,FALSE)</f>
        <v>Boqueirão</v>
      </c>
      <c r="O358" t="str">
        <f>INDEX(dimensao_bairro!B:B,MATCH(tabela_origem!E358,dimensao_bairro!A:A,0))</f>
        <v>Boqueirão</v>
      </c>
      <c r="P358" t="str">
        <f t="shared" si="17"/>
        <v>BAIXO</v>
      </c>
    </row>
    <row r="359" spans="1:16" x14ac:dyDescent="0.25">
      <c r="A359" s="1">
        <v>46092</v>
      </c>
      <c r="B359" t="s">
        <v>7</v>
      </c>
      <c r="C359" s="2">
        <v>0.77638888888888891</v>
      </c>
      <c r="D359" s="2" t="str">
        <f t="shared" si="15"/>
        <v>18h</v>
      </c>
      <c r="E359" t="s">
        <v>15</v>
      </c>
      <c r="F359" t="str">
        <f>VLOOKUP(E359,dimensao_bairro!A:B,2,FALSE)</f>
        <v>Boqueirão</v>
      </c>
      <c r="G359" t="s">
        <v>23</v>
      </c>
      <c r="H359" s="5">
        <v>6.5</v>
      </c>
      <c r="I359" s="5">
        <v>1.6</v>
      </c>
      <c r="J359" t="str">
        <f t="shared" si="16"/>
        <v>Curta</v>
      </c>
      <c r="M359" t="str">
        <f>VLOOKUP(E359,dimensao_bairro!A:B,2,FALSE)</f>
        <v>Boqueirão</v>
      </c>
      <c r="O359" t="str">
        <f>INDEX(dimensao_bairro!B:B,MATCH(tabela_origem!E359,dimensao_bairro!A:A,0))</f>
        <v>Boqueirão</v>
      </c>
      <c r="P359" t="str">
        <f t="shared" si="17"/>
        <v>BAIXO</v>
      </c>
    </row>
    <row r="360" spans="1:16" x14ac:dyDescent="0.25">
      <c r="A360" s="1">
        <v>46092</v>
      </c>
      <c r="B360" t="s">
        <v>7</v>
      </c>
      <c r="C360" s="2">
        <v>0.82361111111111107</v>
      </c>
      <c r="D360" s="2" t="str">
        <f t="shared" si="15"/>
        <v>19h</v>
      </c>
      <c r="E360" t="s">
        <v>15</v>
      </c>
      <c r="F360" t="str">
        <f>VLOOKUP(E360,dimensao_bairro!A:B,2,FALSE)</f>
        <v>Boqueirão</v>
      </c>
      <c r="G360" t="s">
        <v>8</v>
      </c>
      <c r="H360" s="5">
        <v>6.5</v>
      </c>
      <c r="I360" s="5">
        <v>1.6</v>
      </c>
      <c r="J360" t="str">
        <f t="shared" si="16"/>
        <v>Curta</v>
      </c>
      <c r="M360" t="str">
        <f>VLOOKUP(E360,dimensao_bairro!A:B,2,FALSE)</f>
        <v>Boqueirão</v>
      </c>
      <c r="O360" t="str">
        <f>INDEX(dimensao_bairro!B:B,MATCH(tabela_origem!E360,dimensao_bairro!A:A,0))</f>
        <v>Boqueirão</v>
      </c>
      <c r="P360" t="str">
        <f t="shared" si="17"/>
        <v>BAIXO</v>
      </c>
    </row>
    <row r="361" spans="1:16" x14ac:dyDescent="0.25">
      <c r="A361" s="1">
        <v>46092</v>
      </c>
      <c r="B361" t="s">
        <v>7</v>
      </c>
      <c r="C361" s="2">
        <v>0.69097222222222221</v>
      </c>
      <c r="D361" s="2" t="str">
        <f t="shared" si="15"/>
        <v>16h</v>
      </c>
      <c r="E361" t="s">
        <v>8</v>
      </c>
      <c r="F361" t="str">
        <f>VLOOKUP(E361,dimensao_bairro!A:B,2,FALSE)</f>
        <v>Portão</v>
      </c>
      <c r="G361" t="s">
        <v>11</v>
      </c>
      <c r="H361" s="5">
        <v>6.5</v>
      </c>
      <c r="I361" s="5">
        <v>0.6</v>
      </c>
      <c r="J361" t="str">
        <f t="shared" si="16"/>
        <v>Curta</v>
      </c>
      <c r="M361" t="str">
        <f>VLOOKUP(E361,dimensao_bairro!A:B,2,FALSE)</f>
        <v>Portão</v>
      </c>
      <c r="O361" t="str">
        <f>INDEX(dimensao_bairro!B:B,MATCH(tabela_origem!E361,dimensao_bairro!A:A,0))</f>
        <v>Portão</v>
      </c>
      <c r="P361" t="str">
        <f t="shared" si="17"/>
        <v>BAIXO</v>
      </c>
    </row>
    <row r="362" spans="1:16" x14ac:dyDescent="0.25">
      <c r="A362" s="1">
        <v>46093</v>
      </c>
      <c r="B362" t="s">
        <v>7</v>
      </c>
      <c r="C362" s="2">
        <v>0.76944444444444438</v>
      </c>
      <c r="D362" s="2" t="str">
        <f t="shared" si="15"/>
        <v>18h</v>
      </c>
      <c r="E362" t="s">
        <v>17</v>
      </c>
      <c r="F362" t="str">
        <f>VLOOKUP(E362,dimensao_bairro!A:B,2,FALSE)</f>
        <v>Boqueirão</v>
      </c>
      <c r="G362" t="s">
        <v>15</v>
      </c>
      <c r="H362" s="5">
        <v>12.7</v>
      </c>
      <c r="I362" s="5">
        <v>7.2</v>
      </c>
      <c r="J362" t="str">
        <f t="shared" si="16"/>
        <v>Longa</v>
      </c>
      <c r="M362" t="str">
        <f>VLOOKUP(E362,dimensao_bairro!A:B,2,FALSE)</f>
        <v>Boqueirão</v>
      </c>
      <c r="O362" t="str">
        <f>INDEX(dimensao_bairro!B:B,MATCH(tabela_origem!E362,dimensao_bairro!A:A,0))</f>
        <v>Boqueirão</v>
      </c>
      <c r="P362" t="str">
        <f t="shared" si="17"/>
        <v>ALTO</v>
      </c>
    </row>
    <row r="363" spans="1:16" x14ac:dyDescent="0.25">
      <c r="A363" s="1">
        <v>46093</v>
      </c>
      <c r="B363" t="s">
        <v>7</v>
      </c>
      <c r="C363" s="2">
        <v>0.73125000000000007</v>
      </c>
      <c r="D363" s="2" t="str">
        <f t="shared" si="15"/>
        <v>17h</v>
      </c>
      <c r="E363" t="s">
        <v>23</v>
      </c>
      <c r="F363" t="str">
        <f>VLOOKUP(E363,dimensao_bairro!A:B,2,FALSE)</f>
        <v>Boqueirão</v>
      </c>
      <c r="G363" t="s">
        <v>15</v>
      </c>
      <c r="H363" s="5">
        <v>12.1</v>
      </c>
      <c r="I363" s="5">
        <v>5.2</v>
      </c>
      <c r="J363" t="str">
        <f t="shared" si="16"/>
        <v>Longa</v>
      </c>
      <c r="M363" t="str">
        <f>VLOOKUP(E363,dimensao_bairro!A:B,2,FALSE)</f>
        <v>Boqueirão</v>
      </c>
      <c r="O363" t="str">
        <f>INDEX(dimensao_bairro!B:B,MATCH(tabela_origem!E363,dimensao_bairro!A:A,0))</f>
        <v>Boqueirão</v>
      </c>
      <c r="P363" t="str">
        <f t="shared" si="17"/>
        <v>ALTO</v>
      </c>
    </row>
    <row r="364" spans="1:16" x14ac:dyDescent="0.25">
      <c r="A364" s="1">
        <v>46093</v>
      </c>
      <c r="B364" t="s">
        <v>7</v>
      </c>
      <c r="C364" s="2">
        <v>0.78055555555555556</v>
      </c>
      <c r="D364" s="2" t="str">
        <f t="shared" si="15"/>
        <v>18h</v>
      </c>
      <c r="E364" t="s">
        <v>11</v>
      </c>
      <c r="F364" t="str">
        <f>VLOOKUP(E364,dimensao_bairro!A:B,2,FALSE)</f>
        <v>Boqueirão</v>
      </c>
      <c r="G364" t="s">
        <v>10</v>
      </c>
      <c r="H364" s="5">
        <v>9.1999999999999993</v>
      </c>
      <c r="I364" s="5">
        <v>3.1</v>
      </c>
      <c r="J364" t="str">
        <f t="shared" si="16"/>
        <v>Média</v>
      </c>
      <c r="M364" t="str">
        <f>VLOOKUP(E364,dimensao_bairro!A:B,2,FALSE)</f>
        <v>Boqueirão</v>
      </c>
      <c r="O364" t="str">
        <f>INDEX(dimensao_bairro!B:B,MATCH(tabela_origem!E364,dimensao_bairro!A:A,0))</f>
        <v>Boqueirão</v>
      </c>
      <c r="P364" t="str">
        <f t="shared" si="17"/>
        <v>MÉDIO</v>
      </c>
    </row>
    <row r="365" spans="1:16" x14ac:dyDescent="0.25">
      <c r="A365" s="1">
        <v>46093</v>
      </c>
      <c r="B365" t="s">
        <v>7</v>
      </c>
      <c r="C365" s="2">
        <v>0.79166666666666663</v>
      </c>
      <c r="D365" s="2" t="str">
        <f t="shared" si="15"/>
        <v>19h</v>
      </c>
      <c r="E365" t="s">
        <v>11</v>
      </c>
      <c r="F365" t="str">
        <f>VLOOKUP(E365,dimensao_bairro!A:B,2,FALSE)</f>
        <v>Boqueirão</v>
      </c>
      <c r="G365" t="s">
        <v>20</v>
      </c>
      <c r="H365" s="5">
        <v>9</v>
      </c>
      <c r="I365" s="5">
        <v>3.7</v>
      </c>
      <c r="J365" t="str">
        <f t="shared" si="16"/>
        <v>Média</v>
      </c>
      <c r="M365" t="str">
        <f>VLOOKUP(E365,dimensao_bairro!A:B,2,FALSE)</f>
        <v>Boqueirão</v>
      </c>
      <c r="O365" t="str">
        <f>INDEX(dimensao_bairro!B:B,MATCH(tabela_origem!E365,dimensao_bairro!A:A,0))</f>
        <v>Boqueirão</v>
      </c>
      <c r="P365" t="str">
        <f t="shared" si="17"/>
        <v>MÉDIO</v>
      </c>
    </row>
    <row r="366" spans="1:16" x14ac:dyDescent="0.25">
      <c r="A366" s="1">
        <v>46093</v>
      </c>
      <c r="B366" t="s">
        <v>7</v>
      </c>
      <c r="C366" s="2">
        <v>0.81666666666666676</v>
      </c>
      <c r="D366" s="2" t="str">
        <f t="shared" si="15"/>
        <v>19h</v>
      </c>
      <c r="E366" t="s">
        <v>20</v>
      </c>
      <c r="F366" t="str">
        <f>VLOOKUP(E366,dimensao_bairro!A:B,2,FALSE)</f>
        <v>Matriz</v>
      </c>
      <c r="G366" t="s">
        <v>5</v>
      </c>
      <c r="H366" s="5">
        <v>8.1</v>
      </c>
      <c r="I366" s="5">
        <v>2.8</v>
      </c>
      <c r="J366" t="str">
        <f t="shared" si="16"/>
        <v>Média</v>
      </c>
      <c r="M366" t="str">
        <f>VLOOKUP(E366,dimensao_bairro!A:B,2,FALSE)</f>
        <v>Matriz</v>
      </c>
      <c r="O366" t="str">
        <f>INDEX(dimensao_bairro!B:B,MATCH(tabela_origem!E366,dimensao_bairro!A:A,0))</f>
        <v>Matriz</v>
      </c>
      <c r="P366" t="str">
        <f t="shared" si="17"/>
        <v>MÉDIO</v>
      </c>
    </row>
    <row r="367" spans="1:16" x14ac:dyDescent="0.25">
      <c r="A367" s="1">
        <v>46093</v>
      </c>
      <c r="B367" t="s">
        <v>7</v>
      </c>
      <c r="C367" s="2">
        <v>0.67152777777777783</v>
      </c>
      <c r="D367" s="2" t="str">
        <f t="shared" si="15"/>
        <v>16h</v>
      </c>
      <c r="E367" t="s">
        <v>9</v>
      </c>
      <c r="F367" t="str">
        <f>VLOOKUP(E367,dimensao_bairro!A:B,2,FALSE)</f>
        <v>Portão</v>
      </c>
      <c r="G367" t="s">
        <v>8</v>
      </c>
      <c r="H367" s="5">
        <v>7.7</v>
      </c>
      <c r="I367" s="5">
        <v>3.5</v>
      </c>
      <c r="J367" t="str">
        <f t="shared" si="16"/>
        <v>Média</v>
      </c>
      <c r="M367" t="str">
        <f>VLOOKUP(E367,dimensao_bairro!A:B,2,FALSE)</f>
        <v>Portão</v>
      </c>
      <c r="O367" t="str">
        <f>INDEX(dimensao_bairro!B:B,MATCH(tabela_origem!E367,dimensao_bairro!A:A,0))</f>
        <v>Portão</v>
      </c>
      <c r="P367" t="str">
        <f t="shared" si="17"/>
        <v>MÉDIO</v>
      </c>
    </row>
    <row r="368" spans="1:16" x14ac:dyDescent="0.25">
      <c r="A368" s="1">
        <v>46093</v>
      </c>
      <c r="B368" t="s">
        <v>7</v>
      </c>
      <c r="C368" s="2">
        <v>0.70486111111111116</v>
      </c>
      <c r="D368" s="2" t="str">
        <f t="shared" si="15"/>
        <v>16h</v>
      </c>
      <c r="E368" t="s">
        <v>8</v>
      </c>
      <c r="F368" t="str">
        <f>VLOOKUP(E368,dimensao_bairro!A:B,2,FALSE)</f>
        <v>Portão</v>
      </c>
      <c r="G368" t="s">
        <v>17</v>
      </c>
      <c r="H368" s="5">
        <v>7.4</v>
      </c>
      <c r="I368" s="5">
        <v>3</v>
      </c>
      <c r="J368" t="str">
        <f t="shared" si="16"/>
        <v>Média</v>
      </c>
      <c r="M368" t="str">
        <f>VLOOKUP(E368,dimensao_bairro!A:B,2,FALSE)</f>
        <v>Portão</v>
      </c>
      <c r="O368" t="str">
        <f>INDEX(dimensao_bairro!B:B,MATCH(tabela_origem!E368,dimensao_bairro!A:A,0))</f>
        <v>Portão</v>
      </c>
      <c r="P368" t="str">
        <f t="shared" si="17"/>
        <v>MÉDIO</v>
      </c>
    </row>
    <row r="369" spans="1:16" x14ac:dyDescent="0.25">
      <c r="A369" s="1">
        <v>46093</v>
      </c>
      <c r="B369" t="s">
        <v>7</v>
      </c>
      <c r="C369" s="2">
        <v>0.74375000000000002</v>
      </c>
      <c r="D369" s="2" t="str">
        <f t="shared" si="15"/>
        <v>17h</v>
      </c>
      <c r="E369" t="s">
        <v>15</v>
      </c>
      <c r="F369" t="str">
        <f>VLOOKUP(E369,dimensao_bairro!A:B,2,FALSE)</f>
        <v>Boqueirão</v>
      </c>
      <c r="G369" t="s">
        <v>17</v>
      </c>
      <c r="H369" s="5">
        <v>7.3</v>
      </c>
      <c r="I369" s="5">
        <v>3.7</v>
      </c>
      <c r="J369" t="str">
        <f t="shared" si="16"/>
        <v>Média</v>
      </c>
      <c r="M369" t="str">
        <f>VLOOKUP(E369,dimensao_bairro!A:B,2,FALSE)</f>
        <v>Boqueirão</v>
      </c>
      <c r="O369" t="str">
        <f>INDEX(dimensao_bairro!B:B,MATCH(tabela_origem!E369,dimensao_bairro!A:A,0))</f>
        <v>Boqueirão</v>
      </c>
      <c r="P369" t="str">
        <f t="shared" si="17"/>
        <v>MÉDIO</v>
      </c>
    </row>
    <row r="370" spans="1:16" x14ac:dyDescent="0.25">
      <c r="A370" s="1">
        <v>46093</v>
      </c>
      <c r="B370" t="s">
        <v>7</v>
      </c>
      <c r="C370" s="2">
        <v>0.76041666666666663</v>
      </c>
      <c r="D370" s="2" t="str">
        <f t="shared" si="15"/>
        <v>18h</v>
      </c>
      <c r="E370" t="s">
        <v>17</v>
      </c>
      <c r="F370" t="str">
        <f>VLOOKUP(E370,dimensao_bairro!A:B,2,FALSE)</f>
        <v>Boqueirão</v>
      </c>
      <c r="G370" t="s">
        <v>11</v>
      </c>
      <c r="H370" s="5">
        <v>7.1</v>
      </c>
      <c r="I370" s="5">
        <v>1.9</v>
      </c>
      <c r="J370" t="str">
        <f t="shared" si="16"/>
        <v>Curta</v>
      </c>
      <c r="M370" t="str">
        <f>VLOOKUP(E370,dimensao_bairro!A:B,2,FALSE)</f>
        <v>Boqueirão</v>
      </c>
      <c r="O370" t="str">
        <f>INDEX(dimensao_bairro!B:B,MATCH(tabela_origem!E370,dimensao_bairro!A:A,0))</f>
        <v>Boqueirão</v>
      </c>
      <c r="P370" t="str">
        <f t="shared" si="17"/>
        <v>MÉDIO</v>
      </c>
    </row>
    <row r="371" spans="1:16" x14ac:dyDescent="0.25">
      <c r="A371" s="1">
        <v>46093</v>
      </c>
      <c r="B371" t="s">
        <v>7</v>
      </c>
      <c r="C371" s="2">
        <v>0.71805555555555556</v>
      </c>
      <c r="D371" s="2" t="str">
        <f t="shared" si="15"/>
        <v>17h</v>
      </c>
      <c r="E371" t="s">
        <v>12</v>
      </c>
      <c r="F371" t="str">
        <f>VLOOKUP(E371,dimensao_bairro!A:B,2,FALSE)</f>
        <v>Portão</v>
      </c>
      <c r="G371" t="s">
        <v>6</v>
      </c>
      <c r="H371" s="5">
        <v>7.1</v>
      </c>
      <c r="I371" s="5">
        <v>1.9</v>
      </c>
      <c r="J371" t="str">
        <f t="shared" si="16"/>
        <v>Curta</v>
      </c>
      <c r="M371" t="str">
        <f>VLOOKUP(E371,dimensao_bairro!A:B,2,FALSE)</f>
        <v>Portão</v>
      </c>
      <c r="O371" t="str">
        <f>INDEX(dimensao_bairro!B:B,MATCH(tabela_origem!E371,dimensao_bairro!A:A,0))</f>
        <v>Portão</v>
      </c>
      <c r="P371" t="str">
        <f t="shared" si="17"/>
        <v>MÉDIO</v>
      </c>
    </row>
    <row r="372" spans="1:16" x14ac:dyDescent="0.25">
      <c r="A372" s="1">
        <v>46093</v>
      </c>
      <c r="B372" t="s">
        <v>7</v>
      </c>
      <c r="C372" s="2">
        <v>0.68958333333333333</v>
      </c>
      <c r="D372" s="2" t="str">
        <f t="shared" si="15"/>
        <v>16h</v>
      </c>
      <c r="E372" t="s">
        <v>5</v>
      </c>
      <c r="F372" t="str">
        <f>VLOOKUP(E372,dimensao_bairro!A:B,2,FALSE)</f>
        <v>Portão</v>
      </c>
      <c r="G372" t="s">
        <v>12</v>
      </c>
      <c r="H372" s="5">
        <v>6.7</v>
      </c>
      <c r="I372" s="5">
        <v>2.1</v>
      </c>
      <c r="J372" t="str">
        <f t="shared" si="16"/>
        <v>Média</v>
      </c>
      <c r="M372" t="str">
        <f>VLOOKUP(E372,dimensao_bairro!A:B,2,FALSE)</f>
        <v>Portão</v>
      </c>
      <c r="O372" t="str">
        <f>INDEX(dimensao_bairro!B:B,MATCH(tabela_origem!E372,dimensao_bairro!A:A,0))</f>
        <v>Portão</v>
      </c>
      <c r="P372" t="str">
        <f t="shared" si="17"/>
        <v>BAIXO</v>
      </c>
    </row>
    <row r="373" spans="1:16" x14ac:dyDescent="0.25">
      <c r="A373" s="1">
        <v>46093</v>
      </c>
      <c r="B373" t="s">
        <v>7</v>
      </c>
      <c r="C373" s="2">
        <v>0.70000000000000007</v>
      </c>
      <c r="D373" s="2" t="str">
        <f t="shared" si="15"/>
        <v>16h</v>
      </c>
      <c r="E373" t="s">
        <v>5</v>
      </c>
      <c r="F373" t="str">
        <f>VLOOKUP(E373,dimensao_bairro!A:B,2,FALSE)</f>
        <v>Portão</v>
      </c>
      <c r="G373" t="s">
        <v>32</v>
      </c>
      <c r="H373" s="5">
        <v>6.7</v>
      </c>
      <c r="I373" s="5">
        <v>2.1</v>
      </c>
      <c r="J373" t="str">
        <f t="shared" si="16"/>
        <v>Média</v>
      </c>
      <c r="M373" t="str">
        <f>VLOOKUP(E373,dimensao_bairro!A:B,2,FALSE)</f>
        <v>Portão</v>
      </c>
      <c r="O373" t="str">
        <f>INDEX(dimensao_bairro!B:B,MATCH(tabela_origem!E373,dimensao_bairro!A:A,0))</f>
        <v>Portão</v>
      </c>
      <c r="P373" t="str">
        <f t="shared" si="17"/>
        <v>BAIXO</v>
      </c>
    </row>
    <row r="374" spans="1:16" x14ac:dyDescent="0.25">
      <c r="A374" s="1">
        <v>46093</v>
      </c>
      <c r="B374" t="s">
        <v>7</v>
      </c>
      <c r="C374" s="2">
        <v>0.65069444444444446</v>
      </c>
      <c r="D374" s="2" t="str">
        <f t="shared" si="15"/>
        <v>15h</v>
      </c>
      <c r="E374" t="s">
        <v>9</v>
      </c>
      <c r="F374" t="str">
        <f>VLOOKUP(E374,dimensao_bairro!A:B,2,FALSE)</f>
        <v>Portão</v>
      </c>
      <c r="G374" t="s">
        <v>13</v>
      </c>
      <c r="H374" s="5">
        <v>6.6</v>
      </c>
      <c r="I374" s="5">
        <v>1.8</v>
      </c>
      <c r="J374" t="str">
        <f t="shared" si="16"/>
        <v>Curta</v>
      </c>
      <c r="M374" t="str">
        <f>VLOOKUP(E374,dimensao_bairro!A:B,2,FALSE)</f>
        <v>Portão</v>
      </c>
      <c r="O374" t="str">
        <f>INDEX(dimensao_bairro!B:B,MATCH(tabela_origem!E374,dimensao_bairro!A:A,0))</f>
        <v>Portão</v>
      </c>
      <c r="P374" t="str">
        <f t="shared" si="17"/>
        <v>BAIXO</v>
      </c>
    </row>
    <row r="375" spans="1:16" x14ac:dyDescent="0.25">
      <c r="A375" s="1">
        <v>46093</v>
      </c>
      <c r="B375" t="s">
        <v>7</v>
      </c>
      <c r="C375" s="2">
        <v>0.79861111111111116</v>
      </c>
      <c r="D375" s="2" t="str">
        <f t="shared" si="15"/>
        <v>19h</v>
      </c>
      <c r="E375" t="s">
        <v>9</v>
      </c>
      <c r="F375" t="str">
        <f>VLOOKUP(E375,dimensao_bairro!A:B,2,FALSE)</f>
        <v>Portão</v>
      </c>
      <c r="G375" t="s">
        <v>23</v>
      </c>
      <c r="H375" s="5">
        <v>6.6</v>
      </c>
      <c r="I375" s="5">
        <v>2.1</v>
      </c>
      <c r="J375" t="str">
        <f t="shared" si="16"/>
        <v>Média</v>
      </c>
      <c r="M375" t="str">
        <f>VLOOKUP(E375,dimensao_bairro!A:B,2,FALSE)</f>
        <v>Portão</v>
      </c>
      <c r="O375" t="str">
        <f>INDEX(dimensao_bairro!B:B,MATCH(tabela_origem!E375,dimensao_bairro!A:A,0))</f>
        <v>Portão</v>
      </c>
      <c r="P375" t="str">
        <f t="shared" si="17"/>
        <v>BAIXO</v>
      </c>
    </row>
    <row r="376" spans="1:16" x14ac:dyDescent="0.25">
      <c r="A376" s="1">
        <v>46093</v>
      </c>
      <c r="B376" t="s">
        <v>7</v>
      </c>
      <c r="C376" s="2">
        <v>0.72777777777777775</v>
      </c>
      <c r="D376" s="2" t="str">
        <f t="shared" si="15"/>
        <v>17h</v>
      </c>
      <c r="E376" t="s">
        <v>15</v>
      </c>
      <c r="F376" t="str">
        <f>VLOOKUP(E376,dimensao_bairro!A:B,2,FALSE)</f>
        <v>Boqueirão</v>
      </c>
      <c r="G376" t="s">
        <v>26</v>
      </c>
      <c r="H376" s="5">
        <v>6.6</v>
      </c>
      <c r="I376" s="5">
        <v>0.7</v>
      </c>
      <c r="J376" t="str">
        <f t="shared" si="16"/>
        <v>Curta</v>
      </c>
      <c r="M376" t="str">
        <f>VLOOKUP(E376,dimensao_bairro!A:B,2,FALSE)</f>
        <v>Boqueirão</v>
      </c>
      <c r="O376" t="str">
        <f>INDEX(dimensao_bairro!B:B,MATCH(tabela_origem!E376,dimensao_bairro!A:A,0))</f>
        <v>Boqueirão</v>
      </c>
      <c r="P376" t="str">
        <f t="shared" si="17"/>
        <v>BAIXO</v>
      </c>
    </row>
    <row r="377" spans="1:16" x14ac:dyDescent="0.25">
      <c r="A377" s="1">
        <v>46093</v>
      </c>
      <c r="B377" t="s">
        <v>7</v>
      </c>
      <c r="C377" s="2">
        <v>0.63958333333333328</v>
      </c>
      <c r="D377" s="2" t="str">
        <f t="shared" si="15"/>
        <v>15h</v>
      </c>
      <c r="E377" t="s">
        <v>5</v>
      </c>
      <c r="F377" t="str">
        <f>VLOOKUP(E377,dimensao_bairro!A:B,2,FALSE)</f>
        <v>Portão</v>
      </c>
      <c r="G377" t="s">
        <v>20</v>
      </c>
      <c r="H377" s="5">
        <v>6.6</v>
      </c>
      <c r="I377" s="5">
        <v>3.5</v>
      </c>
      <c r="J377" t="str">
        <f t="shared" si="16"/>
        <v>Média</v>
      </c>
      <c r="M377" t="str">
        <f>VLOOKUP(E377,dimensao_bairro!A:B,2,FALSE)</f>
        <v>Portão</v>
      </c>
      <c r="O377" t="str">
        <f>INDEX(dimensao_bairro!B:B,MATCH(tabela_origem!E377,dimensao_bairro!A:A,0))</f>
        <v>Portão</v>
      </c>
      <c r="P377" t="str">
        <f t="shared" si="17"/>
        <v>BAIXO</v>
      </c>
    </row>
    <row r="378" spans="1:16" x14ac:dyDescent="0.25">
      <c r="A378" s="1">
        <v>46093</v>
      </c>
      <c r="B378" t="s">
        <v>7</v>
      </c>
      <c r="C378" s="2">
        <v>0.68125000000000002</v>
      </c>
      <c r="D378" s="2" t="str">
        <f t="shared" si="15"/>
        <v>16h</v>
      </c>
      <c r="E378" t="s">
        <v>5</v>
      </c>
      <c r="F378" t="str">
        <f>VLOOKUP(E378,dimensao_bairro!A:B,2,FALSE)</f>
        <v>Portão</v>
      </c>
      <c r="G378" t="s">
        <v>13</v>
      </c>
      <c r="H378" s="5">
        <v>6.6</v>
      </c>
      <c r="I378" s="5">
        <v>3</v>
      </c>
      <c r="J378" t="str">
        <f t="shared" si="16"/>
        <v>Média</v>
      </c>
      <c r="M378" t="str">
        <f>VLOOKUP(E378,dimensao_bairro!A:B,2,FALSE)</f>
        <v>Portão</v>
      </c>
      <c r="O378" t="str">
        <f>INDEX(dimensao_bairro!B:B,MATCH(tabela_origem!E378,dimensao_bairro!A:A,0))</f>
        <v>Portão</v>
      </c>
      <c r="P378" t="str">
        <f t="shared" si="17"/>
        <v>BAIXO</v>
      </c>
    </row>
    <row r="379" spans="1:16" x14ac:dyDescent="0.25">
      <c r="A379" s="1">
        <v>46093</v>
      </c>
      <c r="B379" t="s">
        <v>7</v>
      </c>
      <c r="C379" s="2">
        <v>0.80902777777777779</v>
      </c>
      <c r="D379" s="2" t="str">
        <f t="shared" si="15"/>
        <v>19h</v>
      </c>
      <c r="E379" t="s">
        <v>20</v>
      </c>
      <c r="F379" t="str">
        <f>VLOOKUP(E379,dimensao_bairro!A:B,2,FALSE)</f>
        <v>Matriz</v>
      </c>
      <c r="G379" t="s">
        <v>9</v>
      </c>
      <c r="H379" s="5">
        <v>6.6</v>
      </c>
      <c r="I379" s="5">
        <v>1.5</v>
      </c>
      <c r="J379" t="str">
        <f t="shared" si="16"/>
        <v>Curta</v>
      </c>
      <c r="M379" t="str">
        <f>VLOOKUP(E379,dimensao_bairro!A:B,2,FALSE)</f>
        <v>Matriz</v>
      </c>
      <c r="O379" t="str">
        <f>INDEX(dimensao_bairro!B:B,MATCH(tabela_origem!E379,dimensao_bairro!A:A,0))</f>
        <v>Matriz</v>
      </c>
      <c r="P379" t="str">
        <f t="shared" si="17"/>
        <v>BAIXO</v>
      </c>
    </row>
    <row r="380" spans="1:16" x14ac:dyDescent="0.25">
      <c r="A380" s="1">
        <v>46093</v>
      </c>
      <c r="B380" t="s">
        <v>7</v>
      </c>
      <c r="C380" s="2">
        <v>0.65763888888888888</v>
      </c>
      <c r="D380" s="2" t="str">
        <f t="shared" si="15"/>
        <v>15h</v>
      </c>
      <c r="E380" t="s">
        <v>9</v>
      </c>
      <c r="F380" t="str">
        <f>VLOOKUP(E380,dimensao_bairro!A:B,2,FALSE)</f>
        <v>Portão</v>
      </c>
      <c r="G380" t="s">
        <v>13</v>
      </c>
      <c r="H380" s="5">
        <v>6.5</v>
      </c>
      <c r="I380" s="5">
        <v>0.6</v>
      </c>
      <c r="J380" t="str">
        <f t="shared" si="16"/>
        <v>Curta</v>
      </c>
      <c r="M380" t="str">
        <f>VLOOKUP(E380,dimensao_bairro!A:B,2,FALSE)</f>
        <v>Portão</v>
      </c>
      <c r="O380" t="str">
        <f>INDEX(dimensao_bairro!B:B,MATCH(tabela_origem!E380,dimensao_bairro!A:A,0))</f>
        <v>Portão</v>
      </c>
      <c r="P380" t="str">
        <f t="shared" si="17"/>
        <v>BAIXO</v>
      </c>
    </row>
    <row r="381" spans="1:16" x14ac:dyDescent="0.25">
      <c r="A381" s="1">
        <v>46093</v>
      </c>
      <c r="B381" t="s">
        <v>7</v>
      </c>
      <c r="C381" s="2">
        <v>0.82847222222222217</v>
      </c>
      <c r="D381" s="2" t="str">
        <f t="shared" si="15"/>
        <v>19h</v>
      </c>
      <c r="E381" t="s">
        <v>13</v>
      </c>
      <c r="F381" t="str">
        <f>VLOOKUP(E381,dimensao_bairro!A:B,2,FALSE)</f>
        <v>Matriz</v>
      </c>
      <c r="G381" t="s">
        <v>20</v>
      </c>
      <c r="H381" s="5">
        <v>6.5</v>
      </c>
      <c r="I381" s="5">
        <v>2.4</v>
      </c>
      <c r="J381" t="str">
        <f t="shared" si="16"/>
        <v>Média</v>
      </c>
      <c r="M381" t="str">
        <f>VLOOKUP(E381,dimensao_bairro!A:B,2,FALSE)</f>
        <v>Matriz</v>
      </c>
      <c r="O381" t="str">
        <f>INDEX(dimensao_bairro!B:B,MATCH(tabela_origem!E381,dimensao_bairro!A:A,0))</f>
        <v>Matriz</v>
      </c>
      <c r="P381" t="str">
        <f t="shared" si="17"/>
        <v>BAIXO</v>
      </c>
    </row>
    <row r="382" spans="1:16" x14ac:dyDescent="0.25">
      <c r="A382" s="1">
        <v>46093</v>
      </c>
      <c r="B382" t="s">
        <v>7</v>
      </c>
      <c r="C382" s="2">
        <v>0.83472222222222225</v>
      </c>
      <c r="D382" s="2" t="str">
        <f t="shared" si="15"/>
        <v>20h</v>
      </c>
      <c r="E382" t="s">
        <v>13</v>
      </c>
      <c r="F382" t="str">
        <f>VLOOKUP(E382,dimensao_bairro!A:B,2,FALSE)</f>
        <v>Matriz</v>
      </c>
      <c r="G382" t="s">
        <v>8</v>
      </c>
      <c r="H382" s="5">
        <v>6.5</v>
      </c>
      <c r="I382" s="5">
        <v>2.2999999999999998</v>
      </c>
      <c r="J382" t="str">
        <f t="shared" si="16"/>
        <v>Média</v>
      </c>
      <c r="M382" t="str">
        <f>VLOOKUP(E382,dimensao_bairro!A:B,2,FALSE)</f>
        <v>Matriz</v>
      </c>
      <c r="O382" t="str">
        <f>INDEX(dimensao_bairro!B:B,MATCH(tabela_origem!E382,dimensao_bairro!A:A,0))</f>
        <v>Matriz</v>
      </c>
      <c r="P382" t="str">
        <f t="shared" si="17"/>
        <v>BAIXO</v>
      </c>
    </row>
    <row r="383" spans="1:16" x14ac:dyDescent="0.25">
      <c r="A383" s="1">
        <v>46093</v>
      </c>
      <c r="B383" t="s">
        <v>7</v>
      </c>
      <c r="C383" s="2">
        <v>0.62916666666666665</v>
      </c>
      <c r="D383" s="2" t="str">
        <f t="shared" si="15"/>
        <v>15h</v>
      </c>
      <c r="E383" t="s">
        <v>10</v>
      </c>
      <c r="F383" t="str">
        <f>VLOOKUP(E383,dimensao_bairro!A:B,2,FALSE)</f>
        <v>Portão</v>
      </c>
      <c r="G383" t="s">
        <v>5</v>
      </c>
      <c r="H383" s="5">
        <v>6.5</v>
      </c>
      <c r="I383" s="5">
        <v>2.2999999999999998</v>
      </c>
      <c r="J383" t="str">
        <f t="shared" si="16"/>
        <v>Média</v>
      </c>
      <c r="M383" t="str">
        <f>VLOOKUP(E383,dimensao_bairro!A:B,2,FALSE)</f>
        <v>Portão</v>
      </c>
      <c r="O383" t="str">
        <f>INDEX(dimensao_bairro!B:B,MATCH(tabela_origem!E383,dimensao_bairro!A:A,0))</f>
        <v>Portão</v>
      </c>
      <c r="P383" t="str">
        <f t="shared" si="17"/>
        <v>BAIXO</v>
      </c>
    </row>
    <row r="384" spans="1:16" x14ac:dyDescent="0.25">
      <c r="A384" s="1">
        <v>46093</v>
      </c>
      <c r="B384" t="s">
        <v>7</v>
      </c>
      <c r="C384" s="2">
        <v>0.63541666666666663</v>
      </c>
      <c r="D384" s="2" t="str">
        <f t="shared" si="15"/>
        <v>15h</v>
      </c>
      <c r="E384" t="s">
        <v>10</v>
      </c>
      <c r="F384" t="str">
        <f>VLOOKUP(E384,dimensao_bairro!A:B,2,FALSE)</f>
        <v>Portão</v>
      </c>
      <c r="G384" t="s">
        <v>5</v>
      </c>
      <c r="H384" s="5">
        <v>6.5</v>
      </c>
      <c r="I384" s="5">
        <v>2.1</v>
      </c>
      <c r="J384" t="str">
        <f t="shared" si="16"/>
        <v>Média</v>
      </c>
      <c r="M384" t="str">
        <f>VLOOKUP(E384,dimensao_bairro!A:B,2,FALSE)</f>
        <v>Portão</v>
      </c>
      <c r="O384" t="str">
        <f>INDEX(dimensao_bairro!B:B,MATCH(tabela_origem!E384,dimensao_bairro!A:A,0))</f>
        <v>Portão</v>
      </c>
      <c r="P384" t="str">
        <f t="shared" si="17"/>
        <v>BAIXO</v>
      </c>
    </row>
    <row r="385" spans="1:16" x14ac:dyDescent="0.25">
      <c r="A385" s="1">
        <v>46094</v>
      </c>
      <c r="B385" t="s">
        <v>7</v>
      </c>
      <c r="C385" s="2">
        <v>0.7104166666666667</v>
      </c>
      <c r="D385" s="2" t="str">
        <f t="shared" si="15"/>
        <v>17h</v>
      </c>
      <c r="E385" t="s">
        <v>11</v>
      </c>
      <c r="F385" t="str">
        <f>VLOOKUP(E385,dimensao_bairro!A:B,2,FALSE)</f>
        <v>Boqueirão</v>
      </c>
      <c r="G385" t="s">
        <v>26</v>
      </c>
      <c r="H385" s="5">
        <v>29.6</v>
      </c>
      <c r="I385" s="5">
        <v>8.6</v>
      </c>
      <c r="J385" t="str">
        <f t="shared" si="16"/>
        <v>Longa</v>
      </c>
      <c r="M385" t="str">
        <f>VLOOKUP(E385,dimensao_bairro!A:B,2,FALSE)</f>
        <v>Boqueirão</v>
      </c>
      <c r="O385" t="str">
        <f>INDEX(dimensao_bairro!B:B,MATCH(tabela_origem!E385,dimensao_bairro!A:A,0))</f>
        <v>Boqueirão</v>
      </c>
      <c r="P385" t="str">
        <f t="shared" si="17"/>
        <v>ALTO</v>
      </c>
    </row>
    <row r="386" spans="1:16" x14ac:dyDescent="0.25">
      <c r="A386" s="1">
        <v>46094</v>
      </c>
      <c r="B386" t="s">
        <v>7</v>
      </c>
      <c r="C386" s="2">
        <v>0.77430555555555547</v>
      </c>
      <c r="D386" s="2" t="str">
        <f t="shared" si="15"/>
        <v>18h</v>
      </c>
      <c r="E386" t="s">
        <v>33</v>
      </c>
      <c r="F386" t="str">
        <f>VLOOKUP(E386,dimensao_bairro!A:B,2,FALSE)</f>
        <v>Santa Felicidade</v>
      </c>
      <c r="G386" t="s">
        <v>15</v>
      </c>
      <c r="H386" s="5">
        <v>15.7</v>
      </c>
      <c r="I386" s="5">
        <v>4.5</v>
      </c>
      <c r="J386" t="str">
        <f t="shared" si="16"/>
        <v>Longa</v>
      </c>
      <c r="M386" t="str">
        <f>VLOOKUP(E386,dimensao_bairro!A:B,2,FALSE)</f>
        <v>Santa Felicidade</v>
      </c>
      <c r="O386" t="str">
        <f>INDEX(dimensao_bairro!B:B,MATCH(tabela_origem!E386,dimensao_bairro!A:A,0))</f>
        <v>Santa Felicidade</v>
      </c>
      <c r="P386" t="str">
        <f t="shared" si="17"/>
        <v>ALTO</v>
      </c>
    </row>
    <row r="387" spans="1:16" x14ac:dyDescent="0.25">
      <c r="A387" s="1">
        <v>46094</v>
      </c>
      <c r="B387" t="s">
        <v>7</v>
      </c>
      <c r="C387" s="2">
        <v>0.70138888888888884</v>
      </c>
      <c r="D387" s="2" t="str">
        <f t="shared" ref="D387:D450" si="18">TEXT(C387,"hh")&amp;"h"</f>
        <v>16h</v>
      </c>
      <c r="E387" t="s">
        <v>15</v>
      </c>
      <c r="F387" t="str">
        <f>VLOOKUP(E387,dimensao_bairro!A:B,2,FALSE)</f>
        <v>Boqueirão</v>
      </c>
      <c r="G387" t="s">
        <v>35</v>
      </c>
      <c r="H387" s="5">
        <v>11.5</v>
      </c>
      <c r="I387" s="5">
        <v>4.2</v>
      </c>
      <c r="J387" t="str">
        <f t="shared" ref="J387:J450" si="19">IF(I387&lt;=2,"Curta",IF(I387&lt;=4,"Média","Longa"))</f>
        <v>Longa</v>
      </c>
      <c r="M387" t="str">
        <f>VLOOKUP(E387,dimensao_bairro!A:B,2,FALSE)</f>
        <v>Boqueirão</v>
      </c>
      <c r="O387" t="str">
        <f>INDEX(dimensao_bairro!B:B,MATCH(tabela_origem!E387,dimensao_bairro!A:A,0))</f>
        <v>Boqueirão</v>
      </c>
      <c r="P387" t="str">
        <f t="shared" ref="P387:P450" si="20">IF(H387&lt;7,"BAIXO",IF(H387&lt;=10,"MÉDIO","ALTO"))</f>
        <v>ALTO</v>
      </c>
    </row>
    <row r="388" spans="1:16" x14ac:dyDescent="0.25">
      <c r="A388" s="1">
        <v>46094</v>
      </c>
      <c r="B388" t="s">
        <v>7</v>
      </c>
      <c r="C388" s="2">
        <v>0.82986111111111116</v>
      </c>
      <c r="D388" s="2" t="str">
        <f t="shared" si="18"/>
        <v>19h</v>
      </c>
      <c r="E388" t="s">
        <v>13</v>
      </c>
      <c r="F388" t="str">
        <f>VLOOKUP(E388,dimensao_bairro!A:B,2,FALSE)</f>
        <v>Matriz</v>
      </c>
      <c r="G388" t="s">
        <v>6</v>
      </c>
      <c r="H388" s="5">
        <v>11.27</v>
      </c>
      <c r="I388" s="5">
        <v>4.2</v>
      </c>
      <c r="J388" t="str">
        <f t="shared" si="19"/>
        <v>Longa</v>
      </c>
      <c r="M388" t="str">
        <f>VLOOKUP(E388,dimensao_bairro!A:B,2,FALSE)</f>
        <v>Matriz</v>
      </c>
      <c r="O388" t="str">
        <f>INDEX(dimensao_bairro!B:B,MATCH(tabela_origem!E388,dimensao_bairro!A:A,0))</f>
        <v>Matriz</v>
      </c>
      <c r="P388" t="str">
        <f t="shared" si="20"/>
        <v>ALTO</v>
      </c>
    </row>
    <row r="389" spans="1:16" x14ac:dyDescent="0.25">
      <c r="A389" s="1">
        <v>46094</v>
      </c>
      <c r="B389" t="s">
        <v>7</v>
      </c>
      <c r="C389" s="2">
        <v>0.7597222222222223</v>
      </c>
      <c r="D389" s="2" t="str">
        <f t="shared" si="18"/>
        <v>18h</v>
      </c>
      <c r="E389" t="s">
        <v>5</v>
      </c>
      <c r="F389" t="str">
        <f>VLOOKUP(E389,dimensao_bairro!A:B,2,FALSE)</f>
        <v>Portão</v>
      </c>
      <c r="G389" t="s">
        <v>20</v>
      </c>
      <c r="H389" s="5">
        <v>9.5</v>
      </c>
      <c r="I389" s="5">
        <v>2.2999999999999998</v>
      </c>
      <c r="J389" t="str">
        <f t="shared" si="19"/>
        <v>Média</v>
      </c>
      <c r="M389" t="str">
        <f>VLOOKUP(E389,dimensao_bairro!A:B,2,FALSE)</f>
        <v>Portão</v>
      </c>
      <c r="O389" t="str">
        <f>INDEX(dimensao_bairro!B:B,MATCH(tabela_origem!E389,dimensao_bairro!A:A,0))</f>
        <v>Portão</v>
      </c>
      <c r="P389" t="str">
        <f t="shared" si="20"/>
        <v>MÉDIO</v>
      </c>
    </row>
    <row r="390" spans="1:16" x14ac:dyDescent="0.25">
      <c r="A390" s="1">
        <v>46094</v>
      </c>
      <c r="B390" t="s">
        <v>7</v>
      </c>
      <c r="C390" s="2">
        <v>0.8027777777777777</v>
      </c>
      <c r="D390" s="2" t="str">
        <f t="shared" si="18"/>
        <v>19h</v>
      </c>
      <c r="E390" t="s">
        <v>10</v>
      </c>
      <c r="F390" t="str">
        <f>VLOOKUP(E390,dimensao_bairro!A:B,2,FALSE)</f>
        <v>Portão</v>
      </c>
      <c r="G390" t="s">
        <v>9</v>
      </c>
      <c r="H390" s="5">
        <v>9.3000000000000007</v>
      </c>
      <c r="I390" s="5">
        <v>4.4000000000000004</v>
      </c>
      <c r="J390" t="str">
        <f t="shared" si="19"/>
        <v>Longa</v>
      </c>
      <c r="M390" t="str">
        <f>VLOOKUP(E390,dimensao_bairro!A:B,2,FALSE)</f>
        <v>Portão</v>
      </c>
      <c r="O390" t="str">
        <f>INDEX(dimensao_bairro!B:B,MATCH(tabela_origem!E390,dimensao_bairro!A:A,0))</f>
        <v>Portão</v>
      </c>
      <c r="P390" t="str">
        <f t="shared" si="20"/>
        <v>MÉDIO</v>
      </c>
    </row>
    <row r="391" spans="1:16" x14ac:dyDescent="0.25">
      <c r="A391" s="1">
        <v>46094</v>
      </c>
      <c r="B391" t="s">
        <v>7</v>
      </c>
      <c r="C391" s="2">
        <v>0.77013888888888893</v>
      </c>
      <c r="D391" s="2" t="str">
        <f t="shared" si="18"/>
        <v>18h</v>
      </c>
      <c r="E391" t="s">
        <v>9</v>
      </c>
      <c r="F391" t="str">
        <f>VLOOKUP(E391,dimensao_bairro!A:B,2,FALSE)</f>
        <v>Portão</v>
      </c>
      <c r="G391" t="s">
        <v>20</v>
      </c>
      <c r="H391" s="5">
        <v>7.7</v>
      </c>
      <c r="I391" s="5">
        <v>1.7</v>
      </c>
      <c r="J391" t="str">
        <f t="shared" si="19"/>
        <v>Curta</v>
      </c>
      <c r="M391" t="str">
        <f>VLOOKUP(E391,dimensao_bairro!A:B,2,FALSE)</f>
        <v>Portão</v>
      </c>
      <c r="O391" t="str">
        <f>INDEX(dimensao_bairro!B:B,MATCH(tabela_origem!E391,dimensao_bairro!A:A,0))</f>
        <v>Portão</v>
      </c>
      <c r="P391" t="str">
        <f t="shared" si="20"/>
        <v>MÉDIO</v>
      </c>
    </row>
    <row r="392" spans="1:16" x14ac:dyDescent="0.25">
      <c r="A392" s="1">
        <v>46094</v>
      </c>
      <c r="B392" t="s">
        <v>7</v>
      </c>
      <c r="C392" s="2">
        <v>0.81458333333333333</v>
      </c>
      <c r="D392" s="2" t="str">
        <f t="shared" si="18"/>
        <v>19h</v>
      </c>
      <c r="E392" t="s">
        <v>34</v>
      </c>
      <c r="F392" t="str">
        <f>VLOOKUP(E392,dimensao_bairro!A:B,2,FALSE)</f>
        <v>Matriz</v>
      </c>
      <c r="G392" t="s">
        <v>5</v>
      </c>
      <c r="H392" s="5">
        <v>7.6</v>
      </c>
      <c r="I392" s="5">
        <v>2.5</v>
      </c>
      <c r="J392" t="str">
        <f t="shared" si="19"/>
        <v>Média</v>
      </c>
      <c r="M392" t="str">
        <f>VLOOKUP(E392,dimensao_bairro!A:B,2,FALSE)</f>
        <v>Matriz</v>
      </c>
      <c r="O392" t="str">
        <f>INDEX(dimensao_bairro!B:B,MATCH(tabela_origem!E392,dimensao_bairro!A:A,0))</f>
        <v>Matriz</v>
      </c>
      <c r="P392" t="str">
        <f t="shared" si="20"/>
        <v>MÉDIO</v>
      </c>
    </row>
    <row r="393" spans="1:16" x14ac:dyDescent="0.25">
      <c r="A393" s="1">
        <v>46094</v>
      </c>
      <c r="B393" t="s">
        <v>7</v>
      </c>
      <c r="C393" s="2">
        <v>0.74236111111111114</v>
      </c>
      <c r="D393" s="2" t="str">
        <f t="shared" si="18"/>
        <v>17h</v>
      </c>
      <c r="E393" t="s">
        <v>10</v>
      </c>
      <c r="F393" t="str">
        <f>VLOOKUP(E393,dimensao_bairro!A:B,2,FALSE)</f>
        <v>Portão</v>
      </c>
      <c r="G393" t="s">
        <v>8</v>
      </c>
      <c r="H393" s="5">
        <v>7.5</v>
      </c>
      <c r="I393" s="5">
        <v>1.4</v>
      </c>
      <c r="J393" t="str">
        <f t="shared" si="19"/>
        <v>Curta</v>
      </c>
      <c r="M393" t="str">
        <f>VLOOKUP(E393,dimensao_bairro!A:B,2,FALSE)</f>
        <v>Portão</v>
      </c>
      <c r="O393" t="str">
        <f>INDEX(dimensao_bairro!B:B,MATCH(tabela_origem!E393,dimensao_bairro!A:A,0))</f>
        <v>Portão</v>
      </c>
      <c r="P393" t="str">
        <f t="shared" si="20"/>
        <v>MÉDIO</v>
      </c>
    </row>
    <row r="394" spans="1:16" x14ac:dyDescent="0.25">
      <c r="A394" s="1">
        <v>46094</v>
      </c>
      <c r="B394" t="s">
        <v>7</v>
      </c>
      <c r="C394" s="2">
        <v>0.79375000000000007</v>
      </c>
      <c r="D394" s="2" t="str">
        <f t="shared" si="18"/>
        <v>19h</v>
      </c>
      <c r="E394" t="s">
        <v>6</v>
      </c>
      <c r="F394" t="str">
        <f>VLOOKUP(E394,dimensao_bairro!A:B,2,FALSE)</f>
        <v>Portão</v>
      </c>
      <c r="G394" t="s">
        <v>18</v>
      </c>
      <c r="H394" s="5">
        <v>7.35</v>
      </c>
      <c r="I394" s="5">
        <v>2.4</v>
      </c>
      <c r="J394" t="str">
        <f t="shared" si="19"/>
        <v>Média</v>
      </c>
      <c r="M394" t="str">
        <f>VLOOKUP(E394,dimensao_bairro!A:B,2,FALSE)</f>
        <v>Portão</v>
      </c>
      <c r="O394" t="str">
        <f>INDEX(dimensao_bairro!B:B,MATCH(tabela_origem!E394,dimensao_bairro!A:A,0))</f>
        <v>Portão</v>
      </c>
      <c r="P394" t="str">
        <f t="shared" si="20"/>
        <v>MÉDIO</v>
      </c>
    </row>
    <row r="395" spans="1:16" x14ac:dyDescent="0.25">
      <c r="A395" s="1">
        <v>46094</v>
      </c>
      <c r="B395" t="s">
        <v>7</v>
      </c>
      <c r="C395" s="2">
        <v>0.81944444444444453</v>
      </c>
      <c r="D395" s="2" t="str">
        <f t="shared" si="18"/>
        <v>19h</v>
      </c>
      <c r="E395" t="s">
        <v>20</v>
      </c>
      <c r="F395" t="str">
        <f>VLOOKUP(E395,dimensao_bairro!A:B,2,FALSE)</f>
        <v>Matriz</v>
      </c>
      <c r="G395" t="s">
        <v>5</v>
      </c>
      <c r="H395" s="5">
        <v>7.2</v>
      </c>
      <c r="I395" s="5">
        <v>1.8</v>
      </c>
      <c r="J395" t="str">
        <f t="shared" si="19"/>
        <v>Curta</v>
      </c>
      <c r="M395" t="str">
        <f>VLOOKUP(E395,dimensao_bairro!A:B,2,FALSE)</f>
        <v>Matriz</v>
      </c>
      <c r="O395" t="str">
        <f>INDEX(dimensao_bairro!B:B,MATCH(tabela_origem!E395,dimensao_bairro!A:A,0))</f>
        <v>Matriz</v>
      </c>
      <c r="P395" t="str">
        <f t="shared" si="20"/>
        <v>MÉDIO</v>
      </c>
    </row>
    <row r="396" spans="1:16" x14ac:dyDescent="0.25">
      <c r="A396" s="1">
        <v>46094</v>
      </c>
      <c r="B396" t="s">
        <v>7</v>
      </c>
      <c r="C396" s="2">
        <v>0.73402777777777783</v>
      </c>
      <c r="D396" s="2" t="str">
        <f t="shared" si="18"/>
        <v>17h</v>
      </c>
      <c r="E396" t="s">
        <v>5</v>
      </c>
      <c r="F396" t="str">
        <f>VLOOKUP(E396,dimensao_bairro!A:B,2,FALSE)</f>
        <v>Portão</v>
      </c>
      <c r="G396" t="s">
        <v>9</v>
      </c>
      <c r="H396" s="5">
        <v>7</v>
      </c>
      <c r="I396" s="5">
        <v>1.6</v>
      </c>
      <c r="J396" t="str">
        <f t="shared" si="19"/>
        <v>Curta</v>
      </c>
      <c r="M396" t="str">
        <f>VLOOKUP(E396,dimensao_bairro!A:B,2,FALSE)</f>
        <v>Portão</v>
      </c>
      <c r="O396" t="str">
        <f>INDEX(dimensao_bairro!B:B,MATCH(tabela_origem!E396,dimensao_bairro!A:A,0))</f>
        <v>Portão</v>
      </c>
      <c r="P396" t="str">
        <f t="shared" si="20"/>
        <v>MÉDIO</v>
      </c>
    </row>
    <row r="397" spans="1:16" x14ac:dyDescent="0.25">
      <c r="A397" s="1">
        <v>46094</v>
      </c>
      <c r="B397" t="s">
        <v>7</v>
      </c>
      <c r="C397" s="2">
        <v>0.74791666666666667</v>
      </c>
      <c r="D397" s="2" t="str">
        <f t="shared" si="18"/>
        <v>17h</v>
      </c>
      <c r="E397" t="s">
        <v>5</v>
      </c>
      <c r="F397" t="str">
        <f>VLOOKUP(E397,dimensao_bairro!A:B,2,FALSE)</f>
        <v>Portão</v>
      </c>
      <c r="G397" t="s">
        <v>28</v>
      </c>
      <c r="H397" s="5">
        <v>6.9</v>
      </c>
      <c r="I397" s="5">
        <v>2.1</v>
      </c>
      <c r="J397" t="str">
        <f t="shared" si="19"/>
        <v>Média</v>
      </c>
      <c r="M397" t="str">
        <f>VLOOKUP(E397,dimensao_bairro!A:B,2,FALSE)</f>
        <v>Portão</v>
      </c>
      <c r="O397" t="str">
        <f>INDEX(dimensao_bairro!B:B,MATCH(tabela_origem!E397,dimensao_bairro!A:A,0))</f>
        <v>Portão</v>
      </c>
      <c r="P397" t="str">
        <f t="shared" si="20"/>
        <v>BAIXO</v>
      </c>
    </row>
    <row r="398" spans="1:16" x14ac:dyDescent="0.25">
      <c r="A398" s="1">
        <v>46097</v>
      </c>
      <c r="B398" t="s">
        <v>7</v>
      </c>
      <c r="C398" s="2">
        <v>0.73472222222222217</v>
      </c>
      <c r="D398" s="2" t="str">
        <f t="shared" si="18"/>
        <v>17h</v>
      </c>
      <c r="E398" t="s">
        <v>6</v>
      </c>
      <c r="F398" t="str">
        <f>VLOOKUP(E398,dimensao_bairro!A:B,2,FALSE)</f>
        <v>Portão</v>
      </c>
      <c r="G398" t="s">
        <v>9</v>
      </c>
      <c r="H398" s="5">
        <v>21.8</v>
      </c>
      <c r="I398" s="5">
        <v>7.1</v>
      </c>
      <c r="J398" t="str">
        <f t="shared" si="19"/>
        <v>Longa</v>
      </c>
      <c r="M398" t="str">
        <f>VLOOKUP(E398,dimensao_bairro!A:B,2,FALSE)</f>
        <v>Portão</v>
      </c>
      <c r="O398" t="str">
        <f>INDEX(dimensao_bairro!B:B,MATCH(tabela_origem!E398,dimensao_bairro!A:A,0))</f>
        <v>Portão</v>
      </c>
      <c r="P398" t="str">
        <f t="shared" si="20"/>
        <v>ALTO</v>
      </c>
    </row>
    <row r="399" spans="1:16" x14ac:dyDescent="0.25">
      <c r="A399" s="1">
        <v>46097</v>
      </c>
      <c r="B399" t="s">
        <v>7</v>
      </c>
      <c r="C399" s="2">
        <v>0.71319444444444446</v>
      </c>
      <c r="D399" s="2" t="str">
        <f t="shared" si="18"/>
        <v>17h</v>
      </c>
      <c r="E399" t="s">
        <v>10</v>
      </c>
      <c r="F399" t="str">
        <f>VLOOKUP(E399,dimensao_bairro!A:B,2,FALSE)</f>
        <v>Portão</v>
      </c>
      <c r="G399" t="s">
        <v>10</v>
      </c>
      <c r="H399" s="5">
        <v>10</v>
      </c>
      <c r="I399" s="5">
        <v>3.6</v>
      </c>
      <c r="J399" t="str">
        <f t="shared" si="19"/>
        <v>Média</v>
      </c>
      <c r="M399" t="str">
        <f>VLOOKUP(E399,dimensao_bairro!A:B,2,FALSE)</f>
        <v>Portão</v>
      </c>
      <c r="O399" t="str">
        <f>INDEX(dimensao_bairro!B:B,MATCH(tabela_origem!E399,dimensao_bairro!A:A,0))</f>
        <v>Portão</v>
      </c>
      <c r="P399" t="str">
        <f t="shared" si="20"/>
        <v>MÉDIO</v>
      </c>
    </row>
    <row r="400" spans="1:16" x14ac:dyDescent="0.25">
      <c r="A400" s="1">
        <v>46097</v>
      </c>
      <c r="B400" t="s">
        <v>7</v>
      </c>
      <c r="C400" s="2">
        <v>0.68819444444444444</v>
      </c>
      <c r="D400" s="2" t="str">
        <f t="shared" si="18"/>
        <v>16h</v>
      </c>
      <c r="E400" t="s">
        <v>6</v>
      </c>
      <c r="F400" t="str">
        <f>VLOOKUP(E400,dimensao_bairro!A:B,2,FALSE)</f>
        <v>Portão</v>
      </c>
      <c r="G400" t="s">
        <v>26</v>
      </c>
      <c r="H400" s="5">
        <v>8</v>
      </c>
      <c r="I400" s="5">
        <v>2.8</v>
      </c>
      <c r="J400" t="str">
        <f t="shared" si="19"/>
        <v>Média</v>
      </c>
      <c r="M400" t="str">
        <f>VLOOKUP(E400,dimensao_bairro!A:B,2,FALSE)</f>
        <v>Portão</v>
      </c>
      <c r="O400" t="str">
        <f>INDEX(dimensao_bairro!B:B,MATCH(tabela_origem!E400,dimensao_bairro!A:A,0))</f>
        <v>Portão</v>
      </c>
      <c r="P400" t="str">
        <f t="shared" si="20"/>
        <v>MÉDIO</v>
      </c>
    </row>
    <row r="401" spans="1:16" x14ac:dyDescent="0.25">
      <c r="A401" s="1">
        <v>46097</v>
      </c>
      <c r="B401" t="s">
        <v>7</v>
      </c>
      <c r="C401" s="2">
        <v>0.7895833333333333</v>
      </c>
      <c r="D401" s="2" t="str">
        <f t="shared" si="18"/>
        <v>18h</v>
      </c>
      <c r="E401" t="s">
        <v>29</v>
      </c>
      <c r="F401" t="str">
        <f>VLOOKUP(E401,dimensao_bairro!A:B,2,FALSE)</f>
        <v>Portão</v>
      </c>
      <c r="G401" t="s">
        <v>5</v>
      </c>
      <c r="H401" s="5">
        <v>7.9</v>
      </c>
      <c r="I401" s="5">
        <v>3.3</v>
      </c>
      <c r="J401" t="str">
        <f t="shared" si="19"/>
        <v>Média</v>
      </c>
      <c r="M401" t="str">
        <f>VLOOKUP(E401,dimensao_bairro!A:B,2,FALSE)</f>
        <v>Portão</v>
      </c>
      <c r="O401" t="str">
        <f>INDEX(dimensao_bairro!B:B,MATCH(tabela_origem!E401,dimensao_bairro!A:A,0))</f>
        <v>Portão</v>
      </c>
      <c r="P401" t="str">
        <f t="shared" si="20"/>
        <v>MÉDIO</v>
      </c>
    </row>
    <row r="402" spans="1:16" x14ac:dyDescent="0.25">
      <c r="A402" s="1">
        <v>46097</v>
      </c>
      <c r="B402" t="s">
        <v>7</v>
      </c>
      <c r="C402" s="2">
        <v>0.72569444444444453</v>
      </c>
      <c r="D402" s="2" t="str">
        <f t="shared" si="18"/>
        <v>17h</v>
      </c>
      <c r="E402" t="s">
        <v>6</v>
      </c>
      <c r="F402" t="str">
        <f>VLOOKUP(E402,dimensao_bairro!A:B,2,FALSE)</f>
        <v>Portão</v>
      </c>
      <c r="G402" t="s">
        <v>11</v>
      </c>
      <c r="H402" s="5">
        <v>7.88</v>
      </c>
      <c r="I402" s="5">
        <v>2.6</v>
      </c>
      <c r="J402" t="str">
        <f t="shared" si="19"/>
        <v>Média</v>
      </c>
      <c r="M402" t="str">
        <f>VLOOKUP(E402,dimensao_bairro!A:B,2,FALSE)</f>
        <v>Portão</v>
      </c>
      <c r="O402" t="str">
        <f>INDEX(dimensao_bairro!B:B,MATCH(tabela_origem!E402,dimensao_bairro!A:A,0))</f>
        <v>Portão</v>
      </c>
      <c r="P402" t="str">
        <f t="shared" si="20"/>
        <v>MÉDIO</v>
      </c>
    </row>
    <row r="403" spans="1:16" x14ac:dyDescent="0.25">
      <c r="A403" s="1">
        <v>46097</v>
      </c>
      <c r="B403" t="s">
        <v>7</v>
      </c>
      <c r="C403" s="2">
        <v>0.63472222222222219</v>
      </c>
      <c r="D403" s="2" t="str">
        <f t="shared" si="18"/>
        <v>15h</v>
      </c>
      <c r="E403" t="s">
        <v>12</v>
      </c>
      <c r="F403" t="str">
        <f>VLOOKUP(E403,dimensao_bairro!A:B,2,FALSE)</f>
        <v>Portão</v>
      </c>
      <c r="G403" t="s">
        <v>27</v>
      </c>
      <c r="H403" s="5">
        <v>7.6</v>
      </c>
      <c r="I403" s="5">
        <v>3.6</v>
      </c>
      <c r="J403" t="str">
        <f t="shared" si="19"/>
        <v>Média</v>
      </c>
      <c r="M403" t="str">
        <f>VLOOKUP(E403,dimensao_bairro!A:B,2,FALSE)</f>
        <v>Portão</v>
      </c>
      <c r="O403" t="str">
        <f>INDEX(dimensao_bairro!B:B,MATCH(tabela_origem!E403,dimensao_bairro!A:A,0))</f>
        <v>Portão</v>
      </c>
      <c r="P403" t="str">
        <f t="shared" si="20"/>
        <v>MÉDIO</v>
      </c>
    </row>
    <row r="404" spans="1:16" x14ac:dyDescent="0.25">
      <c r="A404" s="1">
        <v>46097</v>
      </c>
      <c r="B404" t="s">
        <v>7</v>
      </c>
      <c r="C404" s="2">
        <v>0.81111111111111101</v>
      </c>
      <c r="D404" s="2" t="str">
        <f t="shared" si="18"/>
        <v>19h</v>
      </c>
      <c r="E404" t="s">
        <v>28</v>
      </c>
      <c r="F404" t="str">
        <f>VLOOKUP(E404,dimensao_bairro!A:B,2,FALSE)</f>
        <v>CIC</v>
      </c>
      <c r="G404" t="s">
        <v>11</v>
      </c>
      <c r="H404" s="5">
        <v>7.59</v>
      </c>
      <c r="I404" s="5">
        <v>2.1</v>
      </c>
      <c r="J404" t="str">
        <f t="shared" si="19"/>
        <v>Média</v>
      </c>
      <c r="M404" t="str">
        <f>VLOOKUP(E404,dimensao_bairro!A:B,2,FALSE)</f>
        <v>CIC</v>
      </c>
      <c r="O404" t="str">
        <f>INDEX(dimensao_bairro!B:B,MATCH(tabela_origem!E404,dimensao_bairro!A:A,0))</f>
        <v>CIC</v>
      </c>
      <c r="P404" t="str">
        <f t="shared" si="20"/>
        <v>MÉDIO</v>
      </c>
    </row>
    <row r="405" spans="1:16" x14ac:dyDescent="0.25">
      <c r="A405" s="1">
        <v>46097</v>
      </c>
      <c r="B405" t="s">
        <v>7</v>
      </c>
      <c r="C405" s="2">
        <v>0.65138888888888891</v>
      </c>
      <c r="D405" s="2" t="str">
        <f t="shared" si="18"/>
        <v>15h</v>
      </c>
      <c r="E405" t="s">
        <v>11</v>
      </c>
      <c r="F405" t="str">
        <f>VLOOKUP(E405,dimensao_bairro!A:B,2,FALSE)</f>
        <v>Boqueirão</v>
      </c>
      <c r="G405" t="s">
        <v>6</v>
      </c>
      <c r="H405" s="5">
        <v>7.3</v>
      </c>
      <c r="I405" s="5">
        <v>1</v>
      </c>
      <c r="J405" t="str">
        <f t="shared" si="19"/>
        <v>Curta</v>
      </c>
      <c r="M405" t="str">
        <f>VLOOKUP(E405,dimensao_bairro!A:B,2,FALSE)</f>
        <v>Boqueirão</v>
      </c>
      <c r="O405" t="str">
        <f>INDEX(dimensao_bairro!B:B,MATCH(tabela_origem!E405,dimensao_bairro!A:A,0))</f>
        <v>Boqueirão</v>
      </c>
      <c r="P405" t="str">
        <f t="shared" si="20"/>
        <v>MÉDIO</v>
      </c>
    </row>
    <row r="406" spans="1:16" x14ac:dyDescent="0.25">
      <c r="A406" s="1">
        <v>46097</v>
      </c>
      <c r="B406" t="s">
        <v>7</v>
      </c>
      <c r="C406" s="2">
        <v>0.73125000000000007</v>
      </c>
      <c r="D406" s="2" t="str">
        <f t="shared" si="18"/>
        <v>17h</v>
      </c>
      <c r="E406" t="s">
        <v>5</v>
      </c>
      <c r="F406" t="str">
        <f>VLOOKUP(E406,dimensao_bairro!A:B,2,FALSE)</f>
        <v>Portão</v>
      </c>
      <c r="G406" t="s">
        <v>5</v>
      </c>
      <c r="H406" s="5">
        <v>7.1</v>
      </c>
      <c r="I406" s="5">
        <v>2.5</v>
      </c>
      <c r="J406" t="str">
        <f t="shared" si="19"/>
        <v>Média</v>
      </c>
      <c r="M406" t="str">
        <f>VLOOKUP(E406,dimensao_bairro!A:B,2,FALSE)</f>
        <v>Portão</v>
      </c>
      <c r="O406" t="str">
        <f>INDEX(dimensao_bairro!B:B,MATCH(tabela_origem!E406,dimensao_bairro!A:A,0))</f>
        <v>Portão</v>
      </c>
      <c r="P406" t="str">
        <f t="shared" si="20"/>
        <v>MÉDIO</v>
      </c>
    </row>
    <row r="407" spans="1:16" x14ac:dyDescent="0.25">
      <c r="A407" s="1">
        <v>46097</v>
      </c>
      <c r="B407" t="s">
        <v>7</v>
      </c>
      <c r="C407" s="2">
        <v>0.70416666666666661</v>
      </c>
      <c r="D407" s="2" t="str">
        <f t="shared" si="18"/>
        <v>16h</v>
      </c>
      <c r="E407" t="s">
        <v>12</v>
      </c>
      <c r="F407" t="str">
        <f>VLOOKUP(E407,dimensao_bairro!A:B,2,FALSE)</f>
        <v>Portão</v>
      </c>
      <c r="G407" t="s">
        <v>29</v>
      </c>
      <c r="H407" s="5">
        <v>6.9</v>
      </c>
      <c r="I407" s="5">
        <v>1.6</v>
      </c>
      <c r="J407" t="str">
        <f t="shared" si="19"/>
        <v>Curta</v>
      </c>
      <c r="M407" t="str">
        <f>VLOOKUP(E407,dimensao_bairro!A:B,2,FALSE)</f>
        <v>Portão</v>
      </c>
      <c r="O407" t="str">
        <f>INDEX(dimensao_bairro!B:B,MATCH(tabela_origem!E407,dimensao_bairro!A:A,0))</f>
        <v>Portão</v>
      </c>
      <c r="P407" t="str">
        <f t="shared" si="20"/>
        <v>BAIXO</v>
      </c>
    </row>
    <row r="408" spans="1:16" x14ac:dyDescent="0.25">
      <c r="A408" s="1">
        <v>46097</v>
      </c>
      <c r="B408" t="s">
        <v>7</v>
      </c>
      <c r="C408" s="2">
        <v>0.77916666666666667</v>
      </c>
      <c r="D408" s="2" t="str">
        <f t="shared" si="18"/>
        <v>18h</v>
      </c>
      <c r="E408" t="s">
        <v>29</v>
      </c>
      <c r="F408" t="str">
        <f>VLOOKUP(E408,dimensao_bairro!A:B,2,FALSE)</f>
        <v>Portão</v>
      </c>
      <c r="G408" t="s">
        <v>12</v>
      </c>
      <c r="H408" s="5">
        <v>6.9</v>
      </c>
      <c r="I408" s="5">
        <v>1.2</v>
      </c>
      <c r="J408" t="str">
        <f t="shared" si="19"/>
        <v>Curta</v>
      </c>
      <c r="M408" t="str">
        <f>VLOOKUP(E408,dimensao_bairro!A:B,2,FALSE)</f>
        <v>Portão</v>
      </c>
      <c r="O408" t="str">
        <f>INDEX(dimensao_bairro!B:B,MATCH(tabela_origem!E408,dimensao_bairro!A:A,0))</f>
        <v>Portão</v>
      </c>
      <c r="P408" t="str">
        <f t="shared" si="20"/>
        <v>BAIXO</v>
      </c>
    </row>
    <row r="409" spans="1:16" x14ac:dyDescent="0.25">
      <c r="A409" s="1">
        <v>46097</v>
      </c>
      <c r="B409" t="s">
        <v>7</v>
      </c>
      <c r="C409" s="2">
        <v>0.69652777777777775</v>
      </c>
      <c r="D409" s="2" t="str">
        <f t="shared" si="18"/>
        <v>16h</v>
      </c>
      <c r="E409" t="s">
        <v>5</v>
      </c>
      <c r="F409" t="str">
        <f>VLOOKUP(E409,dimensao_bairro!A:B,2,FALSE)</f>
        <v>Portão</v>
      </c>
      <c r="G409" t="s">
        <v>29</v>
      </c>
      <c r="H409" s="5">
        <v>6.9</v>
      </c>
      <c r="I409" s="5">
        <v>1.5</v>
      </c>
      <c r="J409" t="str">
        <f t="shared" si="19"/>
        <v>Curta</v>
      </c>
      <c r="M409" t="str">
        <f>VLOOKUP(E409,dimensao_bairro!A:B,2,FALSE)</f>
        <v>Portão</v>
      </c>
      <c r="O409" t="str">
        <f>INDEX(dimensao_bairro!B:B,MATCH(tabela_origem!E409,dimensao_bairro!A:A,0))</f>
        <v>Portão</v>
      </c>
      <c r="P409" t="str">
        <f t="shared" si="20"/>
        <v>BAIXO</v>
      </c>
    </row>
    <row r="410" spans="1:16" x14ac:dyDescent="0.25">
      <c r="A410" s="1">
        <v>46097</v>
      </c>
      <c r="B410" t="s">
        <v>7</v>
      </c>
      <c r="C410" s="2">
        <v>0.76111111111111107</v>
      </c>
      <c r="D410" s="2" t="str">
        <f t="shared" si="18"/>
        <v>18h</v>
      </c>
      <c r="E410" t="s">
        <v>28</v>
      </c>
      <c r="F410" t="str">
        <f>VLOOKUP(E410,dimensao_bairro!A:B,2,FALSE)</f>
        <v>CIC</v>
      </c>
      <c r="G410" t="s">
        <v>9</v>
      </c>
      <c r="H410" s="5">
        <v>6.7</v>
      </c>
      <c r="I410" s="5">
        <v>2.2999999999999998</v>
      </c>
      <c r="J410" t="str">
        <f t="shared" si="19"/>
        <v>Média</v>
      </c>
      <c r="M410" t="str">
        <f>VLOOKUP(E410,dimensao_bairro!A:B,2,FALSE)</f>
        <v>CIC</v>
      </c>
      <c r="O410" t="str">
        <f>INDEX(dimensao_bairro!B:B,MATCH(tabela_origem!E410,dimensao_bairro!A:A,0))</f>
        <v>CIC</v>
      </c>
      <c r="P410" t="str">
        <f t="shared" si="20"/>
        <v>BAIXO</v>
      </c>
    </row>
    <row r="411" spans="1:16" x14ac:dyDescent="0.25">
      <c r="A411" s="1">
        <v>46097</v>
      </c>
      <c r="B411" t="s">
        <v>7</v>
      </c>
      <c r="C411" s="2">
        <v>0.68194444444444446</v>
      </c>
      <c r="D411" s="2" t="str">
        <f t="shared" si="18"/>
        <v>16h</v>
      </c>
      <c r="E411" t="s">
        <v>12</v>
      </c>
      <c r="F411" t="str">
        <f>VLOOKUP(E411,dimensao_bairro!A:B,2,FALSE)</f>
        <v>Portão</v>
      </c>
      <c r="G411" t="s">
        <v>29</v>
      </c>
      <c r="H411" s="5">
        <v>6.5</v>
      </c>
      <c r="I411" s="5">
        <v>2.8</v>
      </c>
      <c r="J411" t="str">
        <f t="shared" si="19"/>
        <v>Média</v>
      </c>
      <c r="M411" t="str">
        <f>VLOOKUP(E411,dimensao_bairro!A:B,2,FALSE)</f>
        <v>Portão</v>
      </c>
      <c r="O411" t="str">
        <f>INDEX(dimensao_bairro!B:B,MATCH(tabela_origem!E411,dimensao_bairro!A:A,0))</f>
        <v>Portão</v>
      </c>
      <c r="P411" t="str">
        <f t="shared" si="20"/>
        <v>BAIXO</v>
      </c>
    </row>
    <row r="412" spans="1:16" x14ac:dyDescent="0.25">
      <c r="A412" s="1">
        <v>46097</v>
      </c>
      <c r="B412" t="s">
        <v>7</v>
      </c>
      <c r="C412" s="2">
        <v>0.7715277777777777</v>
      </c>
      <c r="D412" s="2" t="str">
        <f t="shared" si="18"/>
        <v>18h</v>
      </c>
      <c r="E412" t="s">
        <v>29</v>
      </c>
      <c r="F412" t="str">
        <f>VLOOKUP(E412,dimensao_bairro!A:B,2,FALSE)</f>
        <v>Portão</v>
      </c>
      <c r="G412" t="s">
        <v>8</v>
      </c>
      <c r="H412" s="5">
        <v>6.5</v>
      </c>
      <c r="I412" s="5">
        <v>1.6</v>
      </c>
      <c r="J412" t="str">
        <f t="shared" si="19"/>
        <v>Curta</v>
      </c>
      <c r="M412" t="str">
        <f>VLOOKUP(E412,dimensao_bairro!A:B,2,FALSE)</f>
        <v>Portão</v>
      </c>
      <c r="O412" t="str">
        <f>INDEX(dimensao_bairro!B:B,MATCH(tabela_origem!E412,dimensao_bairro!A:A,0))</f>
        <v>Portão</v>
      </c>
      <c r="P412" t="str">
        <f t="shared" si="20"/>
        <v>BAIXO</v>
      </c>
    </row>
    <row r="413" spans="1:16" x14ac:dyDescent="0.25">
      <c r="A413" s="1">
        <v>46097</v>
      </c>
      <c r="B413" t="s">
        <v>7</v>
      </c>
      <c r="C413" s="2">
        <v>0.6791666666666667</v>
      </c>
      <c r="D413" s="2" t="str">
        <f t="shared" si="18"/>
        <v>16h</v>
      </c>
      <c r="E413" t="s">
        <v>5</v>
      </c>
      <c r="F413" t="str">
        <f>VLOOKUP(E413,dimensao_bairro!A:B,2,FALSE)</f>
        <v>Portão</v>
      </c>
      <c r="G413" t="s">
        <v>11</v>
      </c>
      <c r="H413" s="5">
        <v>6.5</v>
      </c>
      <c r="I413" s="5">
        <v>2.2999999999999998</v>
      </c>
      <c r="J413" t="str">
        <f t="shared" si="19"/>
        <v>Média</v>
      </c>
      <c r="M413" t="str">
        <f>VLOOKUP(E413,dimensao_bairro!A:B,2,FALSE)</f>
        <v>Portão</v>
      </c>
      <c r="O413" t="str">
        <f>INDEX(dimensao_bairro!B:B,MATCH(tabela_origem!E413,dimensao_bairro!A:A,0))</f>
        <v>Portão</v>
      </c>
      <c r="P413" t="str">
        <f t="shared" si="20"/>
        <v>BAIXO</v>
      </c>
    </row>
    <row r="414" spans="1:16" x14ac:dyDescent="0.25">
      <c r="A414" s="1">
        <v>46097</v>
      </c>
      <c r="B414" t="s">
        <v>7</v>
      </c>
      <c r="C414" s="2">
        <v>0.64027777777777783</v>
      </c>
      <c r="D414" s="2" t="str">
        <f t="shared" si="18"/>
        <v>15h</v>
      </c>
      <c r="E414" t="s">
        <v>11</v>
      </c>
      <c r="F414" t="str">
        <f>VLOOKUP(E414,dimensao_bairro!A:B,2,FALSE)</f>
        <v>Boqueirão</v>
      </c>
      <c r="G414" t="s">
        <v>11</v>
      </c>
      <c r="H414" s="5">
        <v>6.5</v>
      </c>
      <c r="I414" s="5">
        <v>2.2000000000000002</v>
      </c>
      <c r="J414" t="str">
        <f t="shared" si="19"/>
        <v>Média</v>
      </c>
      <c r="M414" t="str">
        <f>VLOOKUP(E414,dimensao_bairro!A:B,2,FALSE)</f>
        <v>Boqueirão</v>
      </c>
      <c r="O414" t="str">
        <f>INDEX(dimensao_bairro!B:B,MATCH(tabela_origem!E414,dimensao_bairro!A:A,0))</f>
        <v>Boqueirão</v>
      </c>
      <c r="P414" t="str">
        <f t="shared" si="20"/>
        <v>BAIXO</v>
      </c>
    </row>
    <row r="415" spans="1:16" x14ac:dyDescent="0.25">
      <c r="A415" s="1">
        <v>46097</v>
      </c>
      <c r="B415" t="s">
        <v>7</v>
      </c>
      <c r="C415" s="2">
        <v>0.65486111111111112</v>
      </c>
      <c r="D415" s="2" t="str">
        <f t="shared" si="18"/>
        <v>15h</v>
      </c>
      <c r="E415" t="s">
        <v>11</v>
      </c>
      <c r="F415" t="str">
        <f>VLOOKUP(E415,dimensao_bairro!A:B,2,FALSE)</f>
        <v>Boqueirão</v>
      </c>
      <c r="G415" t="s">
        <v>10</v>
      </c>
      <c r="H415" s="5">
        <v>6.5</v>
      </c>
      <c r="I415" s="5">
        <v>1.6</v>
      </c>
      <c r="J415" t="str">
        <f t="shared" si="19"/>
        <v>Curta</v>
      </c>
      <c r="M415" t="str">
        <f>VLOOKUP(E415,dimensao_bairro!A:B,2,FALSE)</f>
        <v>Boqueirão</v>
      </c>
      <c r="O415" t="str">
        <f>INDEX(dimensao_bairro!B:B,MATCH(tabela_origem!E415,dimensao_bairro!A:A,0))</f>
        <v>Boqueirão</v>
      </c>
      <c r="P415" t="str">
        <f t="shared" si="20"/>
        <v>BAIXO</v>
      </c>
    </row>
    <row r="416" spans="1:16" x14ac:dyDescent="0.25">
      <c r="A416" s="1">
        <v>46097</v>
      </c>
      <c r="B416" t="s">
        <v>7</v>
      </c>
      <c r="C416" s="2">
        <v>0.66180555555555554</v>
      </c>
      <c r="D416" s="2" t="str">
        <f t="shared" si="18"/>
        <v>15h</v>
      </c>
      <c r="E416" t="s">
        <v>11</v>
      </c>
      <c r="F416" t="str">
        <f>VLOOKUP(E416,dimensao_bairro!A:B,2,FALSE)</f>
        <v>Boqueirão</v>
      </c>
      <c r="H416" s="5">
        <v>6.5</v>
      </c>
      <c r="I416" s="5">
        <v>1.9</v>
      </c>
      <c r="J416" t="str">
        <f t="shared" si="19"/>
        <v>Curta</v>
      </c>
      <c r="M416" t="str">
        <f>VLOOKUP(E416,dimensao_bairro!A:B,2,FALSE)</f>
        <v>Boqueirão</v>
      </c>
      <c r="O416" t="str">
        <f>INDEX(dimensao_bairro!B:B,MATCH(tabela_origem!E416,dimensao_bairro!A:A,0))</f>
        <v>Boqueirão</v>
      </c>
      <c r="P416" t="str">
        <f t="shared" si="20"/>
        <v>BAIXO</v>
      </c>
    </row>
    <row r="417" spans="1:16" x14ac:dyDescent="0.25">
      <c r="A417" s="1">
        <v>46098</v>
      </c>
      <c r="B417" t="s">
        <v>7</v>
      </c>
      <c r="D417" s="2" t="str">
        <f t="shared" si="18"/>
        <v>00h</v>
      </c>
      <c r="E417" t="s">
        <v>55</v>
      </c>
      <c r="F417" t="e">
        <f>VLOOKUP(E417,dimensao_bairro!A:B,2,FALSE)</f>
        <v>#N/A</v>
      </c>
      <c r="G417" t="s">
        <v>5</v>
      </c>
      <c r="J417" t="str">
        <f t="shared" si="19"/>
        <v>Curta</v>
      </c>
      <c r="M417" t="e">
        <f>VLOOKUP(E417,dimensao_bairro!A:B,2,FALSE)</f>
        <v>#N/A</v>
      </c>
      <c r="O417" t="e">
        <f>INDEX(dimensao_bairro!B:B,MATCH(tabela_origem!E417,dimensao_bairro!A:A,0))</f>
        <v>#N/A</v>
      </c>
      <c r="P417" t="str">
        <f t="shared" si="20"/>
        <v>BAIXO</v>
      </c>
    </row>
    <row r="418" spans="1:16" x14ac:dyDescent="0.25">
      <c r="A418" s="1">
        <v>46099</v>
      </c>
      <c r="B418" t="s">
        <v>7</v>
      </c>
      <c r="C418" s="2">
        <v>0.72916666666666663</v>
      </c>
      <c r="D418" s="2" t="str">
        <f t="shared" si="18"/>
        <v>17h</v>
      </c>
      <c r="E418" t="s">
        <v>25</v>
      </c>
      <c r="F418" t="str">
        <f>VLOOKUP(E418,dimensao_bairro!A:B,2,FALSE)</f>
        <v>Cajuru</v>
      </c>
      <c r="G418" t="s">
        <v>23</v>
      </c>
      <c r="H418" s="5">
        <v>17.2</v>
      </c>
      <c r="I418" s="5">
        <v>5.6</v>
      </c>
      <c r="J418" t="str">
        <f t="shared" si="19"/>
        <v>Longa</v>
      </c>
      <c r="M418" t="str">
        <f>VLOOKUP(E418,dimensao_bairro!A:B,2,FALSE)</f>
        <v>Cajuru</v>
      </c>
      <c r="O418" t="str">
        <f>INDEX(dimensao_bairro!B:B,MATCH(tabela_origem!E418,dimensao_bairro!A:A,0))</f>
        <v>Cajuru</v>
      </c>
      <c r="P418" t="str">
        <f t="shared" si="20"/>
        <v>ALTO</v>
      </c>
    </row>
    <row r="419" spans="1:16" x14ac:dyDescent="0.25">
      <c r="A419" s="1">
        <v>46099</v>
      </c>
      <c r="B419" t="s">
        <v>7</v>
      </c>
      <c r="C419" s="2">
        <v>0.75138888888888899</v>
      </c>
      <c r="D419" s="2" t="str">
        <f t="shared" si="18"/>
        <v>18h</v>
      </c>
      <c r="E419" t="s">
        <v>11</v>
      </c>
      <c r="F419" t="str">
        <f>VLOOKUP(E419,dimensao_bairro!A:B,2,FALSE)</f>
        <v>Boqueirão</v>
      </c>
      <c r="G419" t="s">
        <v>15</v>
      </c>
      <c r="H419" s="5">
        <v>17</v>
      </c>
      <c r="I419" s="5">
        <v>4.9000000000000004</v>
      </c>
      <c r="J419" t="str">
        <f t="shared" si="19"/>
        <v>Longa</v>
      </c>
      <c r="M419" t="str">
        <f>VLOOKUP(E419,dimensao_bairro!A:B,2,FALSE)</f>
        <v>Boqueirão</v>
      </c>
      <c r="O419" t="str">
        <f>INDEX(dimensao_bairro!B:B,MATCH(tabela_origem!E419,dimensao_bairro!A:A,0))</f>
        <v>Boqueirão</v>
      </c>
      <c r="P419" t="str">
        <f t="shared" si="20"/>
        <v>ALTO</v>
      </c>
    </row>
    <row r="420" spans="1:16" x14ac:dyDescent="0.25">
      <c r="A420" s="1">
        <v>46099</v>
      </c>
      <c r="B420" t="s">
        <v>7</v>
      </c>
      <c r="C420" s="2">
        <v>0.8027777777777777</v>
      </c>
      <c r="D420" s="2" t="str">
        <f t="shared" si="18"/>
        <v>19h</v>
      </c>
      <c r="E420" t="s">
        <v>23</v>
      </c>
      <c r="F420" t="str">
        <f>VLOOKUP(E420,dimensao_bairro!A:B,2,FALSE)</f>
        <v>Boqueirão</v>
      </c>
      <c r="G420" t="s">
        <v>23</v>
      </c>
      <c r="H420" s="5">
        <v>11.6</v>
      </c>
      <c r="I420" s="5">
        <v>5</v>
      </c>
      <c r="J420" t="str">
        <f t="shared" si="19"/>
        <v>Longa</v>
      </c>
      <c r="M420" t="str">
        <f>VLOOKUP(E420,dimensao_bairro!A:B,2,FALSE)</f>
        <v>Boqueirão</v>
      </c>
      <c r="O420" t="str">
        <f>INDEX(dimensao_bairro!B:B,MATCH(tabela_origem!E420,dimensao_bairro!A:A,0))</f>
        <v>Boqueirão</v>
      </c>
      <c r="P420" t="str">
        <f t="shared" si="20"/>
        <v>ALTO</v>
      </c>
    </row>
    <row r="421" spans="1:16" x14ac:dyDescent="0.25">
      <c r="A421" s="1">
        <v>46099</v>
      </c>
      <c r="B421" t="s">
        <v>7</v>
      </c>
      <c r="C421" s="2">
        <v>0.79652777777777783</v>
      </c>
      <c r="D421" s="2" t="str">
        <f t="shared" si="18"/>
        <v>19h</v>
      </c>
      <c r="E421" t="s">
        <v>15</v>
      </c>
      <c r="F421" t="str">
        <f>VLOOKUP(E421,dimensao_bairro!A:B,2,FALSE)</f>
        <v>Boqueirão</v>
      </c>
      <c r="G421" t="s">
        <v>14</v>
      </c>
      <c r="H421" s="5">
        <v>10.3</v>
      </c>
      <c r="I421" s="5">
        <v>3.9</v>
      </c>
      <c r="J421" t="str">
        <f t="shared" si="19"/>
        <v>Média</v>
      </c>
      <c r="M421" t="str">
        <f>VLOOKUP(E421,dimensao_bairro!A:B,2,FALSE)</f>
        <v>Boqueirão</v>
      </c>
      <c r="O421" t="str">
        <f>INDEX(dimensao_bairro!B:B,MATCH(tabela_origem!E421,dimensao_bairro!A:A,0))</f>
        <v>Boqueirão</v>
      </c>
      <c r="P421" t="str">
        <f t="shared" si="20"/>
        <v>ALTO</v>
      </c>
    </row>
    <row r="422" spans="1:16" x14ac:dyDescent="0.25">
      <c r="A422" s="1">
        <v>46099</v>
      </c>
      <c r="B422" t="s">
        <v>7</v>
      </c>
      <c r="C422" s="2">
        <v>0.71458333333333324</v>
      </c>
      <c r="D422" s="2" t="str">
        <f t="shared" si="18"/>
        <v>17h</v>
      </c>
      <c r="E422" t="s">
        <v>11</v>
      </c>
      <c r="F422" t="str">
        <f>VLOOKUP(E422,dimensao_bairro!A:B,2,FALSE)</f>
        <v>Boqueirão</v>
      </c>
      <c r="G422" t="s">
        <v>11</v>
      </c>
      <c r="H422" s="5">
        <v>10</v>
      </c>
      <c r="I422" s="5">
        <v>2.9</v>
      </c>
      <c r="J422" t="str">
        <f t="shared" si="19"/>
        <v>Média</v>
      </c>
      <c r="M422" t="str">
        <f>VLOOKUP(E422,dimensao_bairro!A:B,2,FALSE)</f>
        <v>Boqueirão</v>
      </c>
      <c r="O422" t="str">
        <f>INDEX(dimensao_bairro!B:B,MATCH(tabela_origem!E422,dimensao_bairro!A:A,0))</f>
        <v>Boqueirão</v>
      </c>
      <c r="P422" t="str">
        <f t="shared" si="20"/>
        <v>MÉDIO</v>
      </c>
    </row>
    <row r="423" spans="1:16" x14ac:dyDescent="0.25">
      <c r="A423" s="1">
        <v>46099</v>
      </c>
      <c r="B423" t="s">
        <v>7</v>
      </c>
      <c r="C423" s="2">
        <v>0.70138888888888884</v>
      </c>
      <c r="D423" s="2" t="str">
        <f t="shared" si="18"/>
        <v>16h</v>
      </c>
      <c r="E423" t="s">
        <v>11</v>
      </c>
      <c r="F423" t="str">
        <f>VLOOKUP(E423,dimensao_bairro!A:B,2,FALSE)</f>
        <v>Boqueirão</v>
      </c>
      <c r="G423" t="s">
        <v>23</v>
      </c>
      <c r="H423" s="5">
        <v>8.8000000000000007</v>
      </c>
      <c r="I423" s="5">
        <v>1.3</v>
      </c>
      <c r="J423" t="str">
        <f t="shared" si="19"/>
        <v>Curta</v>
      </c>
      <c r="M423" t="str">
        <f>VLOOKUP(E423,dimensao_bairro!A:B,2,FALSE)</f>
        <v>Boqueirão</v>
      </c>
      <c r="O423" t="str">
        <f>INDEX(dimensao_bairro!B:B,MATCH(tabela_origem!E423,dimensao_bairro!A:A,0))</f>
        <v>Boqueirão</v>
      </c>
      <c r="P423" t="str">
        <f t="shared" si="20"/>
        <v>MÉDIO</v>
      </c>
    </row>
    <row r="424" spans="1:16" x14ac:dyDescent="0.25">
      <c r="A424" s="1">
        <v>46099</v>
      </c>
      <c r="B424" t="s">
        <v>7</v>
      </c>
      <c r="C424" s="2">
        <v>0.82430555555555562</v>
      </c>
      <c r="D424" s="2" t="str">
        <f t="shared" si="18"/>
        <v>19h</v>
      </c>
      <c r="E424" t="s">
        <v>15</v>
      </c>
      <c r="F424" t="str">
        <f>VLOOKUP(E424,dimensao_bairro!A:B,2,FALSE)</f>
        <v>Boqueirão</v>
      </c>
      <c r="G424" t="s">
        <v>8</v>
      </c>
      <c r="H424" s="5">
        <v>8.5</v>
      </c>
      <c r="I424" s="5">
        <v>3.8</v>
      </c>
      <c r="J424" t="str">
        <f t="shared" si="19"/>
        <v>Média</v>
      </c>
      <c r="M424" t="str">
        <f>VLOOKUP(E424,dimensao_bairro!A:B,2,FALSE)</f>
        <v>Boqueirão</v>
      </c>
      <c r="O424" t="str">
        <f>INDEX(dimensao_bairro!B:B,MATCH(tabela_origem!E424,dimensao_bairro!A:A,0))</f>
        <v>Boqueirão</v>
      </c>
      <c r="P424" t="str">
        <f t="shared" si="20"/>
        <v>MÉDIO</v>
      </c>
    </row>
    <row r="425" spans="1:16" x14ac:dyDescent="0.25">
      <c r="A425" s="1">
        <v>46099</v>
      </c>
      <c r="B425" t="s">
        <v>7</v>
      </c>
      <c r="C425" s="2">
        <v>0.74513888888888891</v>
      </c>
      <c r="D425" s="2" t="str">
        <f t="shared" si="18"/>
        <v>17h</v>
      </c>
      <c r="E425" t="s">
        <v>10</v>
      </c>
      <c r="F425" t="str">
        <f>VLOOKUP(E425,dimensao_bairro!A:B,2,FALSE)</f>
        <v>Portão</v>
      </c>
      <c r="G425" t="s">
        <v>11</v>
      </c>
      <c r="H425" s="5">
        <v>8.3000000000000007</v>
      </c>
      <c r="I425" s="5">
        <v>1.9</v>
      </c>
      <c r="J425" t="str">
        <f t="shared" si="19"/>
        <v>Curta</v>
      </c>
      <c r="M425" t="str">
        <f>VLOOKUP(E425,dimensao_bairro!A:B,2,FALSE)</f>
        <v>Portão</v>
      </c>
      <c r="O425" t="str">
        <f>INDEX(dimensao_bairro!B:B,MATCH(tabela_origem!E425,dimensao_bairro!A:A,0))</f>
        <v>Portão</v>
      </c>
      <c r="P425" t="str">
        <f t="shared" si="20"/>
        <v>MÉDIO</v>
      </c>
    </row>
    <row r="426" spans="1:16" x14ac:dyDescent="0.25">
      <c r="A426" s="1">
        <v>46099</v>
      </c>
      <c r="B426" t="s">
        <v>7</v>
      </c>
      <c r="C426" s="2">
        <v>0.77777777777777779</v>
      </c>
      <c r="D426" s="2" t="str">
        <f t="shared" si="18"/>
        <v>18h</v>
      </c>
      <c r="E426" t="s">
        <v>15</v>
      </c>
      <c r="F426" t="str">
        <f>VLOOKUP(E426,dimensao_bairro!A:B,2,FALSE)</f>
        <v>Boqueirão</v>
      </c>
      <c r="G426" t="s">
        <v>23</v>
      </c>
      <c r="H426" s="5">
        <v>8</v>
      </c>
      <c r="I426" s="5">
        <v>2</v>
      </c>
      <c r="J426" t="str">
        <f t="shared" si="19"/>
        <v>Curta</v>
      </c>
      <c r="M426" t="str">
        <f>VLOOKUP(E426,dimensao_bairro!A:B,2,FALSE)</f>
        <v>Boqueirão</v>
      </c>
      <c r="O426" t="str">
        <f>INDEX(dimensao_bairro!B:B,MATCH(tabela_origem!E426,dimensao_bairro!A:A,0))</f>
        <v>Boqueirão</v>
      </c>
      <c r="P426" t="str">
        <f t="shared" si="20"/>
        <v>MÉDIO</v>
      </c>
    </row>
    <row r="427" spans="1:16" x14ac:dyDescent="0.25">
      <c r="A427" s="1">
        <v>46099</v>
      </c>
      <c r="B427" t="s">
        <v>7</v>
      </c>
      <c r="C427" s="2">
        <v>0.76874999999999993</v>
      </c>
      <c r="D427" s="2" t="str">
        <f t="shared" si="18"/>
        <v>18h</v>
      </c>
      <c r="E427" t="s">
        <v>23</v>
      </c>
      <c r="F427" t="str">
        <f>VLOOKUP(E427,dimensao_bairro!A:B,2,FALSE)</f>
        <v>Boqueirão</v>
      </c>
      <c r="G427" t="s">
        <v>11</v>
      </c>
      <c r="H427" s="5">
        <v>6.9</v>
      </c>
      <c r="I427" s="5">
        <v>0.7</v>
      </c>
      <c r="J427" t="str">
        <f t="shared" si="19"/>
        <v>Curta</v>
      </c>
      <c r="M427" t="str">
        <f>VLOOKUP(E427,dimensao_bairro!A:B,2,FALSE)</f>
        <v>Boqueirão</v>
      </c>
      <c r="O427" t="str">
        <f>INDEX(dimensao_bairro!B:B,MATCH(tabela_origem!E427,dimensao_bairro!A:A,0))</f>
        <v>Boqueirão</v>
      </c>
      <c r="P427" t="str">
        <f t="shared" si="20"/>
        <v>BAIXO</v>
      </c>
    </row>
    <row r="428" spans="1:16" x14ac:dyDescent="0.25">
      <c r="A428" s="1">
        <v>46099</v>
      </c>
      <c r="B428" t="s">
        <v>7</v>
      </c>
      <c r="C428" s="2">
        <v>0.68888888888888899</v>
      </c>
      <c r="D428" s="2" t="str">
        <f t="shared" si="18"/>
        <v>16h</v>
      </c>
      <c r="E428" t="s">
        <v>15</v>
      </c>
      <c r="F428" t="str">
        <f>VLOOKUP(E428,dimensao_bairro!A:B,2,FALSE)</f>
        <v>Boqueirão</v>
      </c>
      <c r="G428" t="s">
        <v>11</v>
      </c>
      <c r="H428" s="5">
        <v>6.5</v>
      </c>
      <c r="I428" s="5">
        <v>2.2000000000000002</v>
      </c>
      <c r="J428" t="str">
        <f t="shared" si="19"/>
        <v>Média</v>
      </c>
      <c r="M428" t="str">
        <f>VLOOKUP(E428,dimensao_bairro!A:B,2,FALSE)</f>
        <v>Boqueirão</v>
      </c>
      <c r="O428" t="str">
        <f>INDEX(dimensao_bairro!B:B,MATCH(tabela_origem!E428,dimensao_bairro!A:A,0))</f>
        <v>Boqueirão</v>
      </c>
      <c r="P428" t="str">
        <f t="shared" si="20"/>
        <v>BAIXO</v>
      </c>
    </row>
    <row r="429" spans="1:16" x14ac:dyDescent="0.25">
      <c r="A429" s="1">
        <v>46099</v>
      </c>
      <c r="B429" t="s">
        <v>7</v>
      </c>
      <c r="C429" s="2">
        <v>0.71180555555555547</v>
      </c>
      <c r="D429" s="2" t="str">
        <f t="shared" si="18"/>
        <v>17h</v>
      </c>
      <c r="E429" t="s">
        <v>15</v>
      </c>
      <c r="F429" t="str">
        <f>VLOOKUP(E429,dimensao_bairro!A:B,2,FALSE)</f>
        <v>Boqueirão</v>
      </c>
      <c r="G429" t="s">
        <v>11</v>
      </c>
      <c r="H429" s="5">
        <v>6.5</v>
      </c>
      <c r="I429" s="5">
        <v>2.2000000000000002</v>
      </c>
      <c r="J429" t="str">
        <f t="shared" si="19"/>
        <v>Média</v>
      </c>
      <c r="M429" t="str">
        <f>VLOOKUP(E429,dimensao_bairro!A:B,2,FALSE)</f>
        <v>Boqueirão</v>
      </c>
      <c r="O429" t="str">
        <f>INDEX(dimensao_bairro!B:B,MATCH(tabela_origem!E429,dimensao_bairro!A:A,0))</f>
        <v>Boqueirão</v>
      </c>
      <c r="P429" t="str">
        <f t="shared" si="20"/>
        <v>BAIXO</v>
      </c>
    </row>
    <row r="430" spans="1:16" x14ac:dyDescent="0.25">
      <c r="A430" s="1">
        <v>46099</v>
      </c>
      <c r="B430" t="s">
        <v>7</v>
      </c>
      <c r="C430" s="2">
        <v>0.6694444444444444</v>
      </c>
      <c r="D430" s="2" t="str">
        <f t="shared" si="18"/>
        <v>16h</v>
      </c>
      <c r="E430" t="s">
        <v>25</v>
      </c>
      <c r="F430" t="str">
        <f>VLOOKUP(E430,dimensao_bairro!A:B,2,FALSE)</f>
        <v>Cajuru</v>
      </c>
      <c r="G430" t="s">
        <v>15</v>
      </c>
      <c r="H430" s="5">
        <v>6.5</v>
      </c>
      <c r="I430" s="5">
        <v>1.3</v>
      </c>
      <c r="J430" t="str">
        <f t="shared" si="19"/>
        <v>Curta</v>
      </c>
      <c r="M430" t="str">
        <f>VLOOKUP(E430,dimensao_bairro!A:B,2,FALSE)</f>
        <v>Cajuru</v>
      </c>
      <c r="O430" t="str">
        <f>INDEX(dimensao_bairro!B:B,MATCH(tabela_origem!E430,dimensao_bairro!A:A,0))</f>
        <v>Cajuru</v>
      </c>
      <c r="P430" t="str">
        <f t="shared" si="20"/>
        <v>BAIXO</v>
      </c>
    </row>
    <row r="431" spans="1:16" x14ac:dyDescent="0.25">
      <c r="A431" s="1">
        <v>46099</v>
      </c>
      <c r="B431" t="s">
        <v>7</v>
      </c>
      <c r="C431" s="2">
        <v>0.68125000000000002</v>
      </c>
      <c r="D431" s="2" t="str">
        <f t="shared" si="18"/>
        <v>16h</v>
      </c>
      <c r="E431" t="s">
        <v>11</v>
      </c>
      <c r="F431" t="str">
        <f>VLOOKUP(E431,dimensao_bairro!A:B,2,FALSE)</f>
        <v>Boqueirão</v>
      </c>
      <c r="G431" t="s">
        <v>11</v>
      </c>
      <c r="H431" s="5">
        <v>6.5</v>
      </c>
      <c r="I431" s="5">
        <v>1.1000000000000001</v>
      </c>
      <c r="J431" t="str">
        <f t="shared" si="19"/>
        <v>Curta</v>
      </c>
      <c r="M431" t="str">
        <f>VLOOKUP(E431,dimensao_bairro!A:B,2,FALSE)</f>
        <v>Boqueirão</v>
      </c>
      <c r="O431" t="str">
        <f>INDEX(dimensao_bairro!B:B,MATCH(tabela_origem!E431,dimensao_bairro!A:A,0))</f>
        <v>Boqueirão</v>
      </c>
      <c r="P431" t="str">
        <f t="shared" si="20"/>
        <v>BAIXO</v>
      </c>
    </row>
    <row r="432" spans="1:16" x14ac:dyDescent="0.25">
      <c r="A432" s="1">
        <v>46099</v>
      </c>
      <c r="B432" t="s">
        <v>7</v>
      </c>
      <c r="C432" s="2">
        <v>0.6875</v>
      </c>
      <c r="D432" s="2" t="str">
        <f t="shared" si="18"/>
        <v>16h</v>
      </c>
      <c r="E432" t="s">
        <v>11</v>
      </c>
      <c r="F432" t="str">
        <f>VLOOKUP(E432,dimensao_bairro!A:B,2,FALSE)</f>
        <v>Boqueirão</v>
      </c>
      <c r="G432" t="s">
        <v>11</v>
      </c>
      <c r="H432" s="5">
        <v>6.5</v>
      </c>
      <c r="I432" s="5">
        <v>1.2</v>
      </c>
      <c r="J432" t="str">
        <f t="shared" si="19"/>
        <v>Curta</v>
      </c>
      <c r="M432" t="str">
        <f>VLOOKUP(E432,dimensao_bairro!A:B,2,FALSE)</f>
        <v>Boqueirão</v>
      </c>
      <c r="O432" t="str">
        <f>INDEX(dimensao_bairro!B:B,MATCH(tabela_origem!E432,dimensao_bairro!A:A,0))</f>
        <v>Boqueirão</v>
      </c>
      <c r="P432" t="str">
        <f t="shared" si="20"/>
        <v>BAIXO</v>
      </c>
    </row>
    <row r="433" spans="1:16" x14ac:dyDescent="0.25">
      <c r="A433" s="1">
        <v>46099</v>
      </c>
      <c r="B433" t="s">
        <v>7</v>
      </c>
      <c r="C433" s="2">
        <v>0.78472222222222221</v>
      </c>
      <c r="D433" s="2" t="str">
        <f t="shared" si="18"/>
        <v>18h</v>
      </c>
      <c r="E433" t="s">
        <v>11</v>
      </c>
      <c r="F433" t="str">
        <f>VLOOKUP(E433,dimensao_bairro!A:B,2,FALSE)</f>
        <v>Boqueirão</v>
      </c>
      <c r="G433" t="s">
        <v>23</v>
      </c>
      <c r="H433" s="5">
        <v>6.5</v>
      </c>
      <c r="I433" s="5">
        <v>1</v>
      </c>
      <c r="J433" t="str">
        <f t="shared" si="19"/>
        <v>Curta</v>
      </c>
      <c r="M433" t="str">
        <f>VLOOKUP(E433,dimensao_bairro!A:B,2,FALSE)</f>
        <v>Boqueirão</v>
      </c>
      <c r="O433" t="str">
        <f>INDEX(dimensao_bairro!B:B,MATCH(tabela_origem!E433,dimensao_bairro!A:A,0))</f>
        <v>Boqueirão</v>
      </c>
      <c r="P433" t="str">
        <f t="shared" si="20"/>
        <v>BAIXO</v>
      </c>
    </row>
    <row r="434" spans="1:16" x14ac:dyDescent="0.25">
      <c r="A434" s="1">
        <v>46099</v>
      </c>
      <c r="B434" t="s">
        <v>7</v>
      </c>
      <c r="C434" s="2">
        <v>0.77430555555555547</v>
      </c>
      <c r="D434" s="2" t="str">
        <f t="shared" si="18"/>
        <v>18h</v>
      </c>
      <c r="E434" t="s">
        <v>23</v>
      </c>
      <c r="F434" t="str">
        <f>VLOOKUP(E434,dimensao_bairro!A:B,2,FALSE)</f>
        <v>Boqueirão</v>
      </c>
      <c r="G434" t="s">
        <v>15</v>
      </c>
      <c r="H434" s="5">
        <v>6.5</v>
      </c>
      <c r="I434" s="5">
        <v>0.9</v>
      </c>
      <c r="J434" t="str">
        <f t="shared" si="19"/>
        <v>Curta</v>
      </c>
      <c r="M434" t="str">
        <f>VLOOKUP(E434,dimensao_bairro!A:B,2,FALSE)</f>
        <v>Boqueirão</v>
      </c>
      <c r="O434" t="str">
        <f>INDEX(dimensao_bairro!B:B,MATCH(tabela_origem!E434,dimensao_bairro!A:A,0))</f>
        <v>Boqueirão</v>
      </c>
      <c r="P434" t="str">
        <f t="shared" si="20"/>
        <v>BAIXO</v>
      </c>
    </row>
    <row r="435" spans="1:16" x14ac:dyDescent="0.25">
      <c r="A435" s="1">
        <v>46100</v>
      </c>
      <c r="B435" t="s">
        <v>7</v>
      </c>
      <c r="C435" s="2">
        <v>0.66388888888888886</v>
      </c>
      <c r="D435" s="2" t="str">
        <f t="shared" si="18"/>
        <v>15h</v>
      </c>
      <c r="E435" t="s">
        <v>11</v>
      </c>
      <c r="F435" t="str">
        <f>VLOOKUP(E435,dimensao_bairro!A:B,2,FALSE)</f>
        <v>Boqueirão</v>
      </c>
      <c r="G435" t="s">
        <v>15</v>
      </c>
      <c r="H435" s="5">
        <v>10.1</v>
      </c>
      <c r="I435" s="5">
        <v>5.0999999999999996</v>
      </c>
      <c r="J435" t="str">
        <f t="shared" si="19"/>
        <v>Longa</v>
      </c>
      <c r="M435" t="str">
        <f>VLOOKUP(E435,dimensao_bairro!A:B,2,FALSE)</f>
        <v>Boqueirão</v>
      </c>
      <c r="O435" t="str">
        <f>INDEX(dimensao_bairro!B:B,MATCH(tabela_origem!E435,dimensao_bairro!A:A,0))</f>
        <v>Boqueirão</v>
      </c>
      <c r="P435" t="str">
        <f t="shared" si="20"/>
        <v>ALTO</v>
      </c>
    </row>
    <row r="436" spans="1:16" x14ac:dyDescent="0.25">
      <c r="A436" s="1">
        <v>46100</v>
      </c>
      <c r="B436" t="s">
        <v>7</v>
      </c>
      <c r="C436" s="2">
        <v>0.67361111111111116</v>
      </c>
      <c r="D436" s="2" t="str">
        <f t="shared" si="18"/>
        <v>16h</v>
      </c>
      <c r="E436" t="s">
        <v>15</v>
      </c>
      <c r="F436" t="str">
        <f>VLOOKUP(E436,dimensao_bairro!A:B,2,FALSE)</f>
        <v>Boqueirão</v>
      </c>
      <c r="G436" t="s">
        <v>15</v>
      </c>
      <c r="H436" s="5">
        <v>7.6</v>
      </c>
      <c r="I436" s="5">
        <v>4</v>
      </c>
      <c r="J436" t="str">
        <f t="shared" si="19"/>
        <v>Média</v>
      </c>
      <c r="M436" t="str">
        <f>VLOOKUP(E436,dimensao_bairro!A:B,2,FALSE)</f>
        <v>Boqueirão</v>
      </c>
      <c r="O436" t="str">
        <f>INDEX(dimensao_bairro!B:B,MATCH(tabela_origem!E436,dimensao_bairro!A:A,0))</f>
        <v>Boqueirão</v>
      </c>
      <c r="P436" t="str">
        <f t="shared" si="20"/>
        <v>MÉDIO</v>
      </c>
    </row>
    <row r="437" spans="1:16" x14ac:dyDescent="0.25">
      <c r="A437" s="1">
        <v>46100</v>
      </c>
      <c r="B437" t="s">
        <v>7</v>
      </c>
      <c r="C437" s="2">
        <v>0.69444444444444453</v>
      </c>
      <c r="D437" s="2" t="str">
        <f t="shared" si="18"/>
        <v>16h</v>
      </c>
      <c r="E437" t="s">
        <v>11</v>
      </c>
      <c r="F437" t="str">
        <f>VLOOKUP(E437,dimensao_bairro!A:B,2,FALSE)</f>
        <v>Boqueirão</v>
      </c>
      <c r="G437" t="s">
        <v>17</v>
      </c>
      <c r="H437" s="5">
        <v>7.6</v>
      </c>
      <c r="I437" s="5">
        <v>3.4</v>
      </c>
      <c r="J437" t="str">
        <f t="shared" si="19"/>
        <v>Média</v>
      </c>
      <c r="M437" t="str">
        <f>VLOOKUP(E437,dimensao_bairro!A:B,2,FALSE)</f>
        <v>Boqueirão</v>
      </c>
      <c r="O437" t="str">
        <f>INDEX(dimensao_bairro!B:B,MATCH(tabela_origem!E437,dimensao_bairro!A:A,0))</f>
        <v>Boqueirão</v>
      </c>
      <c r="P437" t="str">
        <f t="shared" si="20"/>
        <v>MÉDIO</v>
      </c>
    </row>
    <row r="438" spans="1:16" x14ac:dyDescent="0.25">
      <c r="A438" s="1">
        <v>46100</v>
      </c>
      <c r="B438" t="s">
        <v>7</v>
      </c>
      <c r="C438" s="2">
        <v>0.71319444444444446</v>
      </c>
      <c r="D438" s="2" t="str">
        <f t="shared" si="18"/>
        <v>17h</v>
      </c>
      <c r="E438" t="s">
        <v>15</v>
      </c>
      <c r="F438" t="str">
        <f>VLOOKUP(E438,dimensao_bairro!A:B,2,FALSE)</f>
        <v>Boqueirão</v>
      </c>
      <c r="G438" t="s">
        <v>23</v>
      </c>
      <c r="H438" s="5">
        <v>7.47</v>
      </c>
      <c r="I438" s="5">
        <v>2.2000000000000002</v>
      </c>
      <c r="J438" t="str">
        <f t="shared" si="19"/>
        <v>Média</v>
      </c>
      <c r="M438" t="str">
        <f>VLOOKUP(E438,dimensao_bairro!A:B,2,FALSE)</f>
        <v>Boqueirão</v>
      </c>
      <c r="O438" t="str">
        <f>INDEX(dimensao_bairro!B:B,MATCH(tabela_origem!E438,dimensao_bairro!A:A,0))</f>
        <v>Boqueirão</v>
      </c>
      <c r="P438" t="str">
        <f t="shared" si="20"/>
        <v>MÉDIO</v>
      </c>
    </row>
    <row r="439" spans="1:16" x14ac:dyDescent="0.25">
      <c r="A439" s="1">
        <v>46100</v>
      </c>
      <c r="B439" t="s">
        <v>7</v>
      </c>
      <c r="C439" s="2">
        <v>0.8027777777777777</v>
      </c>
      <c r="D439" s="2" t="str">
        <f t="shared" si="18"/>
        <v>19h</v>
      </c>
      <c r="E439" t="s">
        <v>16</v>
      </c>
      <c r="F439" t="str">
        <f>VLOOKUP(E439,dimensao_bairro!A:B,2,FALSE)</f>
        <v>Bairro Novo</v>
      </c>
      <c r="G439" t="s">
        <v>15</v>
      </c>
      <c r="H439" s="5">
        <v>7.24</v>
      </c>
      <c r="I439" s="5">
        <v>2.5</v>
      </c>
      <c r="J439" t="str">
        <f t="shared" si="19"/>
        <v>Média</v>
      </c>
      <c r="M439" t="str">
        <f>VLOOKUP(E439,dimensao_bairro!A:B,2,FALSE)</f>
        <v>Bairro Novo</v>
      </c>
      <c r="O439" t="str">
        <f>INDEX(dimensao_bairro!B:B,MATCH(tabela_origem!E439,dimensao_bairro!A:A,0))</f>
        <v>Bairro Novo</v>
      </c>
      <c r="P439" t="str">
        <f t="shared" si="20"/>
        <v>MÉDIO</v>
      </c>
    </row>
    <row r="440" spans="1:16" x14ac:dyDescent="0.25">
      <c r="A440" s="1">
        <v>46100</v>
      </c>
      <c r="B440" t="s">
        <v>7</v>
      </c>
      <c r="C440" s="2">
        <v>0.70000000000000007</v>
      </c>
      <c r="D440" s="2" t="str">
        <f t="shared" si="18"/>
        <v>16h</v>
      </c>
      <c r="E440" t="s">
        <v>15</v>
      </c>
      <c r="F440" t="str">
        <f>VLOOKUP(E440,dimensao_bairro!A:B,2,FALSE)</f>
        <v>Boqueirão</v>
      </c>
      <c r="G440" t="s">
        <v>11</v>
      </c>
      <c r="H440" s="5">
        <v>7.1</v>
      </c>
      <c r="I440" s="5">
        <v>3.1</v>
      </c>
      <c r="J440" t="str">
        <f t="shared" si="19"/>
        <v>Média</v>
      </c>
      <c r="M440" t="str">
        <f>VLOOKUP(E440,dimensao_bairro!A:B,2,FALSE)</f>
        <v>Boqueirão</v>
      </c>
      <c r="O440" t="str">
        <f>INDEX(dimensao_bairro!B:B,MATCH(tabela_origem!E440,dimensao_bairro!A:A,0))</f>
        <v>Boqueirão</v>
      </c>
      <c r="P440" t="str">
        <f t="shared" si="20"/>
        <v>MÉDIO</v>
      </c>
    </row>
    <row r="441" spans="1:16" x14ac:dyDescent="0.25">
      <c r="A441" s="1">
        <v>46100</v>
      </c>
      <c r="B441" t="s">
        <v>7</v>
      </c>
      <c r="C441" s="2">
        <v>0.72430555555555554</v>
      </c>
      <c r="D441" s="2" t="str">
        <f t="shared" si="18"/>
        <v>17h</v>
      </c>
      <c r="E441" t="s">
        <v>15</v>
      </c>
      <c r="F441" t="str">
        <f>VLOOKUP(E441,dimensao_bairro!A:B,2,FALSE)</f>
        <v>Boqueirão</v>
      </c>
      <c r="G441" t="s">
        <v>15</v>
      </c>
      <c r="H441" s="5">
        <v>7.1</v>
      </c>
      <c r="I441" s="5">
        <v>2.8</v>
      </c>
      <c r="J441" t="str">
        <f t="shared" si="19"/>
        <v>Média</v>
      </c>
      <c r="M441" t="str">
        <f>VLOOKUP(E441,dimensao_bairro!A:B,2,FALSE)</f>
        <v>Boqueirão</v>
      </c>
      <c r="O441" t="str">
        <f>INDEX(dimensao_bairro!B:B,MATCH(tabela_origem!E441,dimensao_bairro!A:A,0))</f>
        <v>Boqueirão</v>
      </c>
      <c r="P441" t="str">
        <f t="shared" si="20"/>
        <v>MÉDIO</v>
      </c>
    </row>
    <row r="442" spans="1:16" x14ac:dyDescent="0.25">
      <c r="A442" s="1">
        <v>46100</v>
      </c>
      <c r="B442" t="s">
        <v>7</v>
      </c>
      <c r="C442" s="2">
        <v>0.67638888888888893</v>
      </c>
      <c r="D442" s="2" t="str">
        <f t="shared" si="18"/>
        <v>16h</v>
      </c>
      <c r="E442" t="s">
        <v>11</v>
      </c>
      <c r="F442" t="str">
        <f>VLOOKUP(E442,dimensao_bairro!A:B,2,FALSE)</f>
        <v>Boqueirão</v>
      </c>
      <c r="G442" t="s">
        <v>15</v>
      </c>
      <c r="H442" s="5">
        <v>6.9</v>
      </c>
      <c r="I442" s="5">
        <v>2.6</v>
      </c>
      <c r="J442" t="str">
        <f t="shared" si="19"/>
        <v>Média</v>
      </c>
      <c r="M442" t="str">
        <f>VLOOKUP(E442,dimensao_bairro!A:B,2,FALSE)</f>
        <v>Boqueirão</v>
      </c>
      <c r="O442" t="str">
        <f>INDEX(dimensao_bairro!B:B,MATCH(tabela_origem!E442,dimensao_bairro!A:A,0))</f>
        <v>Boqueirão</v>
      </c>
      <c r="P442" t="str">
        <f t="shared" si="20"/>
        <v>BAIXO</v>
      </c>
    </row>
    <row r="443" spans="1:16" x14ac:dyDescent="0.25">
      <c r="A443" s="1">
        <v>46100</v>
      </c>
      <c r="B443" t="s">
        <v>7</v>
      </c>
      <c r="C443" s="2">
        <v>0.6875</v>
      </c>
      <c r="D443" s="2" t="str">
        <f t="shared" si="18"/>
        <v>16h</v>
      </c>
      <c r="E443" t="s">
        <v>15</v>
      </c>
      <c r="F443" t="str">
        <f>VLOOKUP(E443,dimensao_bairro!A:B,2,FALSE)</f>
        <v>Boqueirão</v>
      </c>
      <c r="G443" t="s">
        <v>23</v>
      </c>
      <c r="H443" s="5">
        <v>6.8</v>
      </c>
      <c r="I443" s="5">
        <v>2.2000000000000002</v>
      </c>
      <c r="J443" t="str">
        <f t="shared" si="19"/>
        <v>Média</v>
      </c>
      <c r="M443" t="str">
        <f>VLOOKUP(E443,dimensao_bairro!A:B,2,FALSE)</f>
        <v>Boqueirão</v>
      </c>
      <c r="O443" t="str">
        <f>INDEX(dimensao_bairro!B:B,MATCH(tabela_origem!E443,dimensao_bairro!A:A,0))</f>
        <v>Boqueirão</v>
      </c>
      <c r="P443" t="str">
        <f t="shared" si="20"/>
        <v>BAIXO</v>
      </c>
    </row>
    <row r="444" spans="1:16" x14ac:dyDescent="0.25">
      <c r="A444" s="1">
        <v>46100</v>
      </c>
      <c r="B444" t="s">
        <v>7</v>
      </c>
      <c r="C444" s="2">
        <v>0.73749999999999993</v>
      </c>
      <c r="D444" s="2" t="str">
        <f t="shared" si="18"/>
        <v>17h</v>
      </c>
      <c r="E444" t="s">
        <v>15</v>
      </c>
      <c r="F444" t="str">
        <f>VLOOKUP(E444,dimensao_bairro!A:B,2,FALSE)</f>
        <v>Boqueirão</v>
      </c>
      <c r="G444" t="s">
        <v>16</v>
      </c>
      <c r="H444" s="5">
        <v>6.7</v>
      </c>
      <c r="I444" s="5">
        <v>2.2000000000000002</v>
      </c>
      <c r="J444" t="str">
        <f t="shared" si="19"/>
        <v>Média</v>
      </c>
      <c r="M444" t="str">
        <f>VLOOKUP(E444,dimensao_bairro!A:B,2,FALSE)</f>
        <v>Boqueirão</v>
      </c>
      <c r="O444" t="str">
        <f>INDEX(dimensao_bairro!B:B,MATCH(tabela_origem!E444,dimensao_bairro!A:A,0))</f>
        <v>Boqueirão</v>
      </c>
      <c r="P444" t="str">
        <f t="shared" si="20"/>
        <v>BAIXO</v>
      </c>
    </row>
    <row r="445" spans="1:16" x14ac:dyDescent="0.25">
      <c r="A445" s="1">
        <v>46100</v>
      </c>
      <c r="B445" t="s">
        <v>7</v>
      </c>
      <c r="C445" s="2">
        <v>0.74583333333333324</v>
      </c>
      <c r="D445" s="2" t="str">
        <f t="shared" si="18"/>
        <v>17h</v>
      </c>
      <c r="E445" t="s">
        <v>23</v>
      </c>
      <c r="F445" t="str">
        <f>VLOOKUP(E445,dimensao_bairro!A:B,2,FALSE)</f>
        <v>Boqueirão</v>
      </c>
      <c r="G445" t="s">
        <v>16</v>
      </c>
      <c r="H445" s="5">
        <v>6.7</v>
      </c>
      <c r="I445" s="5">
        <v>2.2000000000000002</v>
      </c>
      <c r="J445" t="str">
        <f t="shared" si="19"/>
        <v>Média</v>
      </c>
      <c r="M445" t="str">
        <f>VLOOKUP(E445,dimensao_bairro!A:B,2,FALSE)</f>
        <v>Boqueirão</v>
      </c>
      <c r="O445" t="str">
        <f>INDEX(dimensao_bairro!B:B,MATCH(tabela_origem!E445,dimensao_bairro!A:A,0))</f>
        <v>Boqueirão</v>
      </c>
      <c r="P445" t="str">
        <f t="shared" si="20"/>
        <v>BAIXO</v>
      </c>
    </row>
    <row r="446" spans="1:16" x14ac:dyDescent="0.25">
      <c r="A446" s="1">
        <v>46100</v>
      </c>
      <c r="B446" t="s">
        <v>7</v>
      </c>
      <c r="C446" s="2">
        <v>0.75138888888888899</v>
      </c>
      <c r="D446" s="2" t="str">
        <f t="shared" si="18"/>
        <v>18h</v>
      </c>
      <c r="E446" t="s">
        <v>16</v>
      </c>
      <c r="F446" t="str">
        <f>VLOOKUP(E446,dimensao_bairro!A:B,2,FALSE)</f>
        <v>Bairro Novo</v>
      </c>
      <c r="G446" t="s">
        <v>16</v>
      </c>
      <c r="H446" s="5">
        <v>6.6</v>
      </c>
      <c r="I446" s="5">
        <v>2.5</v>
      </c>
      <c r="J446" t="str">
        <f t="shared" si="19"/>
        <v>Média</v>
      </c>
      <c r="M446" t="str">
        <f>VLOOKUP(E446,dimensao_bairro!A:B,2,FALSE)</f>
        <v>Bairro Novo</v>
      </c>
      <c r="O446" t="str">
        <f>INDEX(dimensao_bairro!B:B,MATCH(tabela_origem!E446,dimensao_bairro!A:A,0))</f>
        <v>Bairro Novo</v>
      </c>
      <c r="P446" t="str">
        <f t="shared" si="20"/>
        <v>BAIXO</v>
      </c>
    </row>
    <row r="447" spans="1:16" x14ac:dyDescent="0.25">
      <c r="A447" s="1">
        <v>46100</v>
      </c>
      <c r="B447" t="s">
        <v>7</v>
      </c>
      <c r="C447" s="2">
        <v>0.7729166666666667</v>
      </c>
      <c r="D447" s="2" t="str">
        <f t="shared" si="18"/>
        <v>18h</v>
      </c>
      <c r="E447" t="s">
        <v>16</v>
      </c>
      <c r="F447" t="str">
        <f>VLOOKUP(E447,dimensao_bairro!A:B,2,FALSE)</f>
        <v>Bairro Novo</v>
      </c>
      <c r="G447" t="s">
        <v>11</v>
      </c>
      <c r="H447" s="5">
        <v>6.6</v>
      </c>
      <c r="I447" s="5">
        <v>2.6</v>
      </c>
      <c r="J447" t="str">
        <f t="shared" si="19"/>
        <v>Média</v>
      </c>
      <c r="M447" t="str">
        <f>VLOOKUP(E447,dimensao_bairro!A:B,2,FALSE)</f>
        <v>Bairro Novo</v>
      </c>
      <c r="O447" t="str">
        <f>INDEX(dimensao_bairro!B:B,MATCH(tabela_origem!E447,dimensao_bairro!A:A,0))</f>
        <v>Bairro Novo</v>
      </c>
      <c r="P447" t="str">
        <f t="shared" si="20"/>
        <v>BAIXO</v>
      </c>
    </row>
    <row r="448" spans="1:16" x14ac:dyDescent="0.25">
      <c r="A448" s="1">
        <v>46100</v>
      </c>
      <c r="B448" t="s">
        <v>7</v>
      </c>
      <c r="C448" s="2">
        <v>0.64236111111111105</v>
      </c>
      <c r="D448" s="2" t="str">
        <f t="shared" si="18"/>
        <v>15h</v>
      </c>
      <c r="E448" t="s">
        <v>23</v>
      </c>
      <c r="F448" t="str">
        <f>VLOOKUP(E448,dimensao_bairro!A:B,2,FALSE)</f>
        <v>Boqueirão</v>
      </c>
      <c r="G448" t="s">
        <v>26</v>
      </c>
      <c r="H448" s="5">
        <v>6.6</v>
      </c>
      <c r="I448" s="5">
        <v>2.7</v>
      </c>
      <c r="J448" t="str">
        <f t="shared" si="19"/>
        <v>Média</v>
      </c>
      <c r="M448" t="str">
        <f>VLOOKUP(E448,dimensao_bairro!A:B,2,FALSE)</f>
        <v>Boqueirão</v>
      </c>
      <c r="O448" t="str">
        <f>INDEX(dimensao_bairro!B:B,MATCH(tabela_origem!E448,dimensao_bairro!A:A,0))</f>
        <v>Boqueirão</v>
      </c>
      <c r="P448" t="str">
        <f t="shared" si="20"/>
        <v>BAIXO</v>
      </c>
    </row>
    <row r="449" spans="1:16" x14ac:dyDescent="0.25">
      <c r="A449" s="1">
        <v>46100</v>
      </c>
      <c r="B449" t="s">
        <v>7</v>
      </c>
      <c r="C449" s="2">
        <v>0.62916666666666665</v>
      </c>
      <c r="D449" s="2" t="str">
        <f t="shared" si="18"/>
        <v>15h</v>
      </c>
      <c r="E449" t="s">
        <v>12</v>
      </c>
      <c r="F449" t="str">
        <f>VLOOKUP(E449,dimensao_bairro!A:B,2,FALSE)</f>
        <v>Portão</v>
      </c>
      <c r="G449" t="s">
        <v>11</v>
      </c>
      <c r="H449" s="5">
        <v>6.5</v>
      </c>
      <c r="I449" s="5">
        <v>2</v>
      </c>
      <c r="J449" t="str">
        <f t="shared" si="19"/>
        <v>Curta</v>
      </c>
      <c r="M449" t="str">
        <f>VLOOKUP(E449,dimensao_bairro!A:B,2,FALSE)</f>
        <v>Portão</v>
      </c>
      <c r="O449" t="str">
        <f>INDEX(dimensao_bairro!B:B,MATCH(tabela_origem!E449,dimensao_bairro!A:A,0))</f>
        <v>Portão</v>
      </c>
      <c r="P449" t="str">
        <f t="shared" si="20"/>
        <v>BAIXO</v>
      </c>
    </row>
    <row r="450" spans="1:16" x14ac:dyDescent="0.25">
      <c r="A450" s="1">
        <v>46100</v>
      </c>
      <c r="B450" t="s">
        <v>7</v>
      </c>
      <c r="C450" s="2">
        <v>0.65416666666666667</v>
      </c>
      <c r="D450" s="2" t="str">
        <f t="shared" si="18"/>
        <v>15h</v>
      </c>
      <c r="E450" t="s">
        <v>11</v>
      </c>
      <c r="F450" t="str">
        <f>VLOOKUP(E450,dimensao_bairro!A:B,2,FALSE)</f>
        <v>Boqueirão</v>
      </c>
      <c r="G450" t="s">
        <v>26</v>
      </c>
      <c r="H450" s="5">
        <v>6.5</v>
      </c>
      <c r="I450" s="5">
        <v>2.6</v>
      </c>
      <c r="J450" t="str">
        <f t="shared" si="19"/>
        <v>Média</v>
      </c>
      <c r="M450" t="str">
        <f>VLOOKUP(E450,dimensao_bairro!A:B,2,FALSE)</f>
        <v>Boqueirão</v>
      </c>
      <c r="O450" t="str">
        <f>INDEX(dimensao_bairro!B:B,MATCH(tabela_origem!E450,dimensao_bairro!A:A,0))</f>
        <v>Boqueirão</v>
      </c>
      <c r="P450" t="str">
        <f t="shared" si="20"/>
        <v>BAIXO</v>
      </c>
    </row>
    <row r="451" spans="1:16" x14ac:dyDescent="0.25">
      <c r="A451" s="1">
        <v>46100</v>
      </c>
      <c r="B451" t="s">
        <v>7</v>
      </c>
      <c r="C451" s="2">
        <v>0.6381944444444444</v>
      </c>
      <c r="D451" s="2" t="str">
        <f t="shared" ref="D451:D514" si="21">TEXT(C451,"hh")&amp;"h"</f>
        <v>15h</v>
      </c>
      <c r="E451" t="s">
        <v>8</v>
      </c>
      <c r="F451" t="str">
        <f>VLOOKUP(E451,dimensao_bairro!A:B,2,FALSE)</f>
        <v>Portão</v>
      </c>
      <c r="G451" t="s">
        <v>6</v>
      </c>
      <c r="H451" s="5">
        <v>6.5</v>
      </c>
      <c r="I451" s="5">
        <v>2.5</v>
      </c>
      <c r="J451" t="str">
        <f t="shared" ref="J451:J514" si="22">IF(I451&lt;=2,"Curta",IF(I451&lt;=4,"Média","Longa"))</f>
        <v>Média</v>
      </c>
      <c r="M451" t="str">
        <f>VLOOKUP(E451,dimensao_bairro!A:B,2,FALSE)</f>
        <v>Portão</v>
      </c>
      <c r="O451" t="str">
        <f>INDEX(dimensao_bairro!B:B,MATCH(tabela_origem!E451,dimensao_bairro!A:A,0))</f>
        <v>Portão</v>
      </c>
      <c r="P451" t="str">
        <f t="shared" ref="P451:P514" si="23">IF(H451&lt;7,"BAIXO",IF(H451&lt;=10,"MÉDIO","ALTO"))</f>
        <v>BAIXO</v>
      </c>
    </row>
    <row r="452" spans="1:16" x14ac:dyDescent="0.25">
      <c r="A452" s="1">
        <v>46100</v>
      </c>
      <c r="B452" t="s">
        <v>7</v>
      </c>
      <c r="C452" s="2">
        <v>0.63402777777777775</v>
      </c>
      <c r="D452" s="2" t="str">
        <f t="shared" si="21"/>
        <v>15h</v>
      </c>
      <c r="E452" t="s">
        <v>26</v>
      </c>
      <c r="F452" t="str">
        <f>VLOOKUP(E452,dimensao_bairro!A:B,2,FALSE)</f>
        <v>Portão</v>
      </c>
      <c r="G452" t="s">
        <v>16</v>
      </c>
      <c r="H452" s="5">
        <v>6.5</v>
      </c>
      <c r="I452" s="5">
        <v>1.8</v>
      </c>
      <c r="J452" t="str">
        <f t="shared" si="22"/>
        <v>Curta</v>
      </c>
      <c r="M452" t="str">
        <f>VLOOKUP(E452,dimensao_bairro!A:B,2,FALSE)</f>
        <v>Portão</v>
      </c>
      <c r="O452" t="str">
        <f>INDEX(dimensao_bairro!B:B,MATCH(tabela_origem!E452,dimensao_bairro!A:A,0))</f>
        <v>Portão</v>
      </c>
      <c r="P452" t="str">
        <f t="shared" si="23"/>
        <v>BAIXO</v>
      </c>
    </row>
    <row r="453" spans="1:16" x14ac:dyDescent="0.25">
      <c r="A453" s="1">
        <v>46100</v>
      </c>
      <c r="B453" t="s">
        <v>7</v>
      </c>
      <c r="C453" s="2">
        <v>0.7583333333333333</v>
      </c>
      <c r="D453" s="2" t="str">
        <f t="shared" si="21"/>
        <v>18h</v>
      </c>
      <c r="E453" t="s">
        <v>16</v>
      </c>
      <c r="F453" t="str">
        <f>VLOOKUP(E453,dimensao_bairro!A:B,2,FALSE)</f>
        <v>Bairro Novo</v>
      </c>
      <c r="G453" t="s">
        <v>16</v>
      </c>
      <c r="H453" s="5">
        <v>6.5</v>
      </c>
      <c r="I453" s="5">
        <v>1.8</v>
      </c>
      <c r="J453" t="str">
        <f t="shared" si="22"/>
        <v>Curta</v>
      </c>
      <c r="M453" t="str">
        <f>VLOOKUP(E453,dimensao_bairro!A:B,2,FALSE)</f>
        <v>Bairro Novo</v>
      </c>
      <c r="O453" t="str">
        <f>INDEX(dimensao_bairro!B:B,MATCH(tabela_origem!E453,dimensao_bairro!A:A,0))</f>
        <v>Bairro Novo</v>
      </c>
      <c r="P453" t="str">
        <f t="shared" si="23"/>
        <v>BAIXO</v>
      </c>
    </row>
    <row r="454" spans="1:16" x14ac:dyDescent="0.25">
      <c r="A454" s="1">
        <v>46100</v>
      </c>
      <c r="B454" t="s">
        <v>7</v>
      </c>
      <c r="C454" s="2">
        <v>0.76250000000000007</v>
      </c>
      <c r="D454" s="2" t="str">
        <f t="shared" si="21"/>
        <v>18h</v>
      </c>
      <c r="E454" t="s">
        <v>16</v>
      </c>
      <c r="F454" t="str">
        <f>VLOOKUP(E454,dimensao_bairro!A:B,2,FALSE)</f>
        <v>Bairro Novo</v>
      </c>
      <c r="G454" t="s">
        <v>16</v>
      </c>
      <c r="H454" s="5">
        <v>6.5</v>
      </c>
      <c r="I454" s="5">
        <v>2</v>
      </c>
      <c r="J454" t="str">
        <f t="shared" si="22"/>
        <v>Curta</v>
      </c>
      <c r="M454" t="str">
        <f>VLOOKUP(E454,dimensao_bairro!A:B,2,FALSE)</f>
        <v>Bairro Novo</v>
      </c>
      <c r="O454" t="str">
        <f>INDEX(dimensao_bairro!B:B,MATCH(tabela_origem!E454,dimensao_bairro!A:A,0))</f>
        <v>Bairro Novo</v>
      </c>
      <c r="P454" t="str">
        <f t="shared" si="23"/>
        <v>BAIXO</v>
      </c>
    </row>
    <row r="455" spans="1:16" x14ac:dyDescent="0.25">
      <c r="A455" s="1">
        <v>46100</v>
      </c>
      <c r="B455" t="s">
        <v>7</v>
      </c>
      <c r="C455" s="2">
        <v>0.78611111111111109</v>
      </c>
      <c r="D455" s="2" t="str">
        <f t="shared" si="21"/>
        <v>18h</v>
      </c>
      <c r="E455" t="s">
        <v>16</v>
      </c>
      <c r="F455" t="str">
        <f>VLOOKUP(E455,dimensao_bairro!A:B,2,FALSE)</f>
        <v>Bairro Novo</v>
      </c>
      <c r="G455" t="s">
        <v>16</v>
      </c>
      <c r="H455" s="5">
        <v>6.5</v>
      </c>
      <c r="I455" s="5">
        <v>1.1000000000000001</v>
      </c>
      <c r="J455" t="str">
        <f t="shared" si="22"/>
        <v>Curta</v>
      </c>
      <c r="M455" t="str">
        <f>VLOOKUP(E455,dimensao_bairro!A:B,2,FALSE)</f>
        <v>Bairro Novo</v>
      </c>
      <c r="O455" t="str">
        <f>INDEX(dimensao_bairro!B:B,MATCH(tabela_origem!E455,dimensao_bairro!A:A,0))</f>
        <v>Bairro Novo</v>
      </c>
      <c r="P455" t="str">
        <f t="shared" si="23"/>
        <v>BAIXO</v>
      </c>
    </row>
    <row r="456" spans="1:16" x14ac:dyDescent="0.25">
      <c r="A456" s="1">
        <v>46100</v>
      </c>
      <c r="B456" t="s">
        <v>7</v>
      </c>
      <c r="C456" s="2">
        <v>0.79513888888888884</v>
      </c>
      <c r="D456" s="2" t="str">
        <f t="shared" si="21"/>
        <v>19h</v>
      </c>
      <c r="E456" t="s">
        <v>16</v>
      </c>
      <c r="F456" t="str">
        <f>VLOOKUP(E456,dimensao_bairro!A:B,2,FALSE)</f>
        <v>Bairro Novo</v>
      </c>
      <c r="G456" t="s">
        <v>11</v>
      </c>
      <c r="H456" s="5">
        <v>6.5</v>
      </c>
      <c r="I456" s="5">
        <v>2.5</v>
      </c>
      <c r="J456" t="str">
        <f t="shared" si="22"/>
        <v>Média</v>
      </c>
      <c r="M456" t="str">
        <f>VLOOKUP(E456,dimensao_bairro!A:B,2,FALSE)</f>
        <v>Bairro Novo</v>
      </c>
      <c r="O456" t="str">
        <f>INDEX(dimensao_bairro!B:B,MATCH(tabela_origem!E456,dimensao_bairro!A:A,0))</f>
        <v>Bairro Novo</v>
      </c>
      <c r="P456" t="str">
        <f t="shared" si="23"/>
        <v>BAIXO</v>
      </c>
    </row>
    <row r="457" spans="1:16" x14ac:dyDescent="0.25">
      <c r="A457" s="1">
        <v>46100</v>
      </c>
      <c r="B457" t="s">
        <v>7</v>
      </c>
      <c r="C457" s="2">
        <v>0.65069444444444446</v>
      </c>
      <c r="D457" s="2" t="str">
        <f t="shared" si="21"/>
        <v>15h</v>
      </c>
      <c r="E457" t="s">
        <v>23</v>
      </c>
      <c r="F457" t="str">
        <f>VLOOKUP(E457,dimensao_bairro!A:B,2,FALSE)</f>
        <v>Boqueirão</v>
      </c>
      <c r="G457" t="s">
        <v>23</v>
      </c>
      <c r="H457" s="5">
        <v>6.5</v>
      </c>
      <c r="I457" s="5">
        <v>1.4</v>
      </c>
      <c r="J457" t="str">
        <f t="shared" si="22"/>
        <v>Curta</v>
      </c>
      <c r="M457" t="str">
        <f>VLOOKUP(E457,dimensao_bairro!A:B,2,FALSE)</f>
        <v>Boqueirão</v>
      </c>
      <c r="O457" t="str">
        <f>INDEX(dimensao_bairro!B:B,MATCH(tabela_origem!E457,dimensao_bairro!A:A,0))</f>
        <v>Boqueirão</v>
      </c>
      <c r="P457" t="str">
        <f t="shared" si="23"/>
        <v>BAIXO</v>
      </c>
    </row>
    <row r="458" spans="1:16" x14ac:dyDescent="0.25">
      <c r="A458" s="1">
        <v>46100</v>
      </c>
      <c r="B458" t="s">
        <v>7</v>
      </c>
      <c r="C458" s="2">
        <v>0.82013888888888886</v>
      </c>
      <c r="D458" s="2" t="str">
        <f t="shared" si="21"/>
        <v>19h</v>
      </c>
      <c r="E458" t="s">
        <v>23</v>
      </c>
      <c r="F458" t="str">
        <f>VLOOKUP(E458,dimensao_bairro!A:B,2,FALSE)</f>
        <v>Boqueirão</v>
      </c>
      <c r="G458" t="s">
        <v>23</v>
      </c>
      <c r="H458" s="5">
        <v>6.5</v>
      </c>
      <c r="I458" s="5">
        <v>2.5</v>
      </c>
      <c r="J458" t="str">
        <f t="shared" si="22"/>
        <v>Média</v>
      </c>
      <c r="M458" t="str">
        <f>VLOOKUP(E458,dimensao_bairro!A:B,2,FALSE)</f>
        <v>Boqueirão</v>
      </c>
      <c r="O458" t="str">
        <f>INDEX(dimensao_bairro!B:B,MATCH(tabela_origem!E458,dimensao_bairro!A:A,0))</f>
        <v>Boqueirão</v>
      </c>
      <c r="P458" t="str">
        <f t="shared" si="23"/>
        <v>BAIXO</v>
      </c>
    </row>
    <row r="459" spans="1:16" x14ac:dyDescent="0.25">
      <c r="A459" s="1">
        <v>46100</v>
      </c>
      <c r="B459" t="s">
        <v>7</v>
      </c>
      <c r="C459" s="2">
        <v>0.82638888888888884</v>
      </c>
      <c r="D459" s="2" t="str">
        <f t="shared" si="21"/>
        <v>19h</v>
      </c>
      <c r="E459" t="s">
        <v>23</v>
      </c>
      <c r="F459" t="str">
        <f>VLOOKUP(E459,dimensao_bairro!A:B,2,FALSE)</f>
        <v>Boqueirão</v>
      </c>
      <c r="G459" t="s">
        <v>27</v>
      </c>
      <c r="H459" s="5">
        <v>6.5</v>
      </c>
      <c r="I459" s="5">
        <v>1</v>
      </c>
      <c r="J459" t="str">
        <f t="shared" si="22"/>
        <v>Curta</v>
      </c>
      <c r="M459" t="str">
        <f>VLOOKUP(E459,dimensao_bairro!A:B,2,FALSE)</f>
        <v>Boqueirão</v>
      </c>
      <c r="O459" t="str">
        <f>INDEX(dimensao_bairro!B:B,MATCH(tabela_origem!E459,dimensao_bairro!A:A,0))</f>
        <v>Boqueirão</v>
      </c>
      <c r="P459" t="str">
        <f t="shared" si="23"/>
        <v>BAIXO</v>
      </c>
    </row>
    <row r="460" spans="1:16" x14ac:dyDescent="0.25">
      <c r="A460" s="1">
        <v>46101</v>
      </c>
      <c r="B460" t="s">
        <v>7</v>
      </c>
      <c r="C460" s="2">
        <v>0.75277777777777777</v>
      </c>
      <c r="D460" s="2" t="str">
        <f t="shared" si="21"/>
        <v>18h</v>
      </c>
      <c r="E460" t="s">
        <v>27</v>
      </c>
      <c r="F460" t="str">
        <f>VLOOKUP(E460,dimensao_bairro!A:B,2,FALSE)</f>
        <v>Pinheirinho</v>
      </c>
      <c r="G460" t="s">
        <v>12</v>
      </c>
      <c r="H460" s="5">
        <v>22.28</v>
      </c>
      <c r="I460" s="5">
        <v>6.9</v>
      </c>
      <c r="J460" t="str">
        <f t="shared" si="22"/>
        <v>Longa</v>
      </c>
      <c r="M460" t="str">
        <f>VLOOKUP(E460,dimensao_bairro!A:B,2,FALSE)</f>
        <v>Pinheirinho</v>
      </c>
      <c r="O460" t="str">
        <f>INDEX(dimensao_bairro!B:B,MATCH(tabela_origem!E460,dimensao_bairro!A:A,0))</f>
        <v>Pinheirinho</v>
      </c>
      <c r="P460" t="str">
        <f t="shared" si="23"/>
        <v>ALTO</v>
      </c>
    </row>
    <row r="461" spans="1:16" x14ac:dyDescent="0.25">
      <c r="A461" s="1">
        <v>46101</v>
      </c>
      <c r="B461" t="s">
        <v>7</v>
      </c>
      <c r="C461" s="2">
        <v>0.67499999999999993</v>
      </c>
      <c r="D461" s="2" t="str">
        <f t="shared" si="21"/>
        <v>16h</v>
      </c>
      <c r="E461" t="s">
        <v>9</v>
      </c>
      <c r="F461" t="str">
        <f>VLOOKUP(E461,dimensao_bairro!A:B,2,FALSE)</f>
        <v>Portão</v>
      </c>
      <c r="G461" t="s">
        <v>12</v>
      </c>
      <c r="H461" s="5">
        <v>17.100000000000001</v>
      </c>
      <c r="I461" s="5">
        <v>5.0999999999999996</v>
      </c>
      <c r="J461" t="str">
        <f t="shared" si="22"/>
        <v>Longa</v>
      </c>
      <c r="M461" t="str">
        <f>VLOOKUP(E461,dimensao_bairro!A:B,2,FALSE)</f>
        <v>Portão</v>
      </c>
      <c r="O461" t="str">
        <f>INDEX(dimensao_bairro!B:B,MATCH(tabela_origem!E461,dimensao_bairro!A:A,0))</f>
        <v>Portão</v>
      </c>
      <c r="P461" t="str">
        <f t="shared" si="23"/>
        <v>ALTO</v>
      </c>
    </row>
    <row r="462" spans="1:16" x14ac:dyDescent="0.25">
      <c r="A462" s="1">
        <v>46101</v>
      </c>
      <c r="B462" t="s">
        <v>7</v>
      </c>
      <c r="C462" s="2">
        <v>0.71180555555555547</v>
      </c>
      <c r="D462" s="2" t="str">
        <f t="shared" si="21"/>
        <v>17h</v>
      </c>
      <c r="E462" t="s">
        <v>26</v>
      </c>
      <c r="F462" t="str">
        <f>VLOOKUP(E462,dimensao_bairro!A:B,2,FALSE)</f>
        <v>Portão</v>
      </c>
      <c r="G462" t="s">
        <v>12</v>
      </c>
      <c r="H462" s="5">
        <v>9.9</v>
      </c>
      <c r="I462" s="5">
        <v>2.6</v>
      </c>
      <c r="J462" t="str">
        <f t="shared" si="22"/>
        <v>Média</v>
      </c>
      <c r="M462" t="str">
        <f>VLOOKUP(E462,dimensao_bairro!A:B,2,FALSE)</f>
        <v>Portão</v>
      </c>
      <c r="O462" t="str">
        <f>INDEX(dimensao_bairro!B:B,MATCH(tabela_origem!E462,dimensao_bairro!A:A,0))</f>
        <v>Portão</v>
      </c>
      <c r="P462" t="str">
        <f t="shared" si="23"/>
        <v>MÉDIO</v>
      </c>
    </row>
    <row r="463" spans="1:16" x14ac:dyDescent="0.25">
      <c r="A463" s="1">
        <v>46101</v>
      </c>
      <c r="B463" t="s">
        <v>7</v>
      </c>
      <c r="C463" s="2">
        <v>0.65555555555555556</v>
      </c>
      <c r="D463" s="2" t="str">
        <f t="shared" si="21"/>
        <v>15h</v>
      </c>
      <c r="E463" t="s">
        <v>10</v>
      </c>
      <c r="F463" t="str">
        <f>VLOOKUP(E463,dimensao_bairro!A:B,2,FALSE)</f>
        <v>Portão</v>
      </c>
      <c r="G463" t="s">
        <v>27</v>
      </c>
      <c r="H463" s="5">
        <v>9.8000000000000007</v>
      </c>
      <c r="I463" s="5">
        <v>2.2999999999999998</v>
      </c>
      <c r="J463" t="str">
        <f t="shared" si="22"/>
        <v>Média</v>
      </c>
      <c r="M463" t="str">
        <f>VLOOKUP(E463,dimensao_bairro!A:B,2,FALSE)</f>
        <v>Portão</v>
      </c>
      <c r="O463" t="str">
        <f>INDEX(dimensao_bairro!B:B,MATCH(tabela_origem!E463,dimensao_bairro!A:A,0))</f>
        <v>Portão</v>
      </c>
      <c r="P463" t="str">
        <f t="shared" si="23"/>
        <v>MÉDIO</v>
      </c>
    </row>
    <row r="464" spans="1:16" x14ac:dyDescent="0.25">
      <c r="A464" s="1">
        <v>46101</v>
      </c>
      <c r="B464" t="s">
        <v>7</v>
      </c>
      <c r="C464" s="2">
        <v>0.74375000000000002</v>
      </c>
      <c r="D464" s="2" t="str">
        <f t="shared" si="21"/>
        <v>17h</v>
      </c>
      <c r="E464" t="s">
        <v>26</v>
      </c>
      <c r="F464" t="str">
        <f>VLOOKUP(E464,dimensao_bairro!A:B,2,FALSE)</f>
        <v>Portão</v>
      </c>
      <c r="G464" t="s">
        <v>5</v>
      </c>
      <c r="H464" s="5">
        <v>9.1</v>
      </c>
      <c r="I464" s="5">
        <v>2.7</v>
      </c>
      <c r="J464" t="str">
        <f t="shared" si="22"/>
        <v>Média</v>
      </c>
      <c r="M464" t="str">
        <f>VLOOKUP(E464,dimensao_bairro!A:B,2,FALSE)</f>
        <v>Portão</v>
      </c>
      <c r="O464" t="str">
        <f>INDEX(dimensao_bairro!B:B,MATCH(tabela_origem!E464,dimensao_bairro!A:A,0))</f>
        <v>Portão</v>
      </c>
      <c r="P464" t="str">
        <f t="shared" si="23"/>
        <v>MÉDIO</v>
      </c>
    </row>
    <row r="465" spans="1:16" x14ac:dyDescent="0.25">
      <c r="A465" s="1">
        <v>46101</v>
      </c>
      <c r="B465" t="s">
        <v>7</v>
      </c>
      <c r="C465" s="2">
        <v>0.71944444444444444</v>
      </c>
      <c r="D465" s="2" t="str">
        <f t="shared" si="21"/>
        <v>17h</v>
      </c>
      <c r="E465" t="s">
        <v>26</v>
      </c>
      <c r="F465" t="str">
        <f>VLOOKUP(E465,dimensao_bairro!A:B,2,FALSE)</f>
        <v>Portão</v>
      </c>
      <c r="G465" t="s">
        <v>10</v>
      </c>
      <c r="H465" s="5">
        <v>8.9</v>
      </c>
      <c r="I465" s="5">
        <v>0.8</v>
      </c>
      <c r="J465" t="str">
        <f t="shared" si="22"/>
        <v>Curta</v>
      </c>
      <c r="M465" t="str">
        <f>VLOOKUP(E465,dimensao_bairro!A:B,2,FALSE)</f>
        <v>Portão</v>
      </c>
      <c r="O465" t="str">
        <f>INDEX(dimensao_bairro!B:B,MATCH(tabela_origem!E465,dimensao_bairro!A:A,0))</f>
        <v>Portão</v>
      </c>
      <c r="P465" t="str">
        <f t="shared" si="23"/>
        <v>MÉDIO</v>
      </c>
    </row>
    <row r="466" spans="1:16" x14ac:dyDescent="0.25">
      <c r="A466" s="1">
        <v>46101</v>
      </c>
      <c r="B466" t="s">
        <v>7</v>
      </c>
      <c r="C466" s="2">
        <v>0.72222222222222221</v>
      </c>
      <c r="D466" s="2" t="str">
        <f t="shared" si="21"/>
        <v>17h</v>
      </c>
      <c r="E466" t="s">
        <v>8</v>
      </c>
      <c r="F466" t="str">
        <f>VLOOKUP(E466,dimensao_bairro!A:B,2,FALSE)</f>
        <v>Portão</v>
      </c>
      <c r="G466" t="s">
        <v>27</v>
      </c>
      <c r="H466" s="5">
        <v>8.6999999999999993</v>
      </c>
      <c r="I466" s="5">
        <v>2.1</v>
      </c>
      <c r="J466" t="str">
        <f t="shared" si="22"/>
        <v>Média</v>
      </c>
      <c r="M466" t="str">
        <f>VLOOKUP(E466,dimensao_bairro!A:B,2,FALSE)</f>
        <v>Portão</v>
      </c>
      <c r="O466" t="str">
        <f>INDEX(dimensao_bairro!B:B,MATCH(tabela_origem!E466,dimensao_bairro!A:A,0))</f>
        <v>Portão</v>
      </c>
      <c r="P466" t="str">
        <f t="shared" si="23"/>
        <v>MÉDIO</v>
      </c>
    </row>
    <row r="467" spans="1:16" x14ac:dyDescent="0.25">
      <c r="A467" s="1">
        <v>46101</v>
      </c>
      <c r="B467" t="s">
        <v>7</v>
      </c>
      <c r="C467" s="2">
        <v>0.75069444444444444</v>
      </c>
      <c r="D467" s="2" t="str">
        <f t="shared" si="21"/>
        <v>18h</v>
      </c>
      <c r="E467" t="s">
        <v>26</v>
      </c>
      <c r="F467" t="str">
        <f>VLOOKUP(E467,dimensao_bairro!A:B,2,FALSE)</f>
        <v>Portão</v>
      </c>
      <c r="G467" t="s">
        <v>8</v>
      </c>
      <c r="H467" s="5">
        <v>8</v>
      </c>
      <c r="I467" s="5">
        <v>1</v>
      </c>
      <c r="J467" t="str">
        <f t="shared" si="22"/>
        <v>Curta</v>
      </c>
      <c r="M467" t="str">
        <f>VLOOKUP(E467,dimensao_bairro!A:B,2,FALSE)</f>
        <v>Portão</v>
      </c>
      <c r="O467" t="str">
        <f>INDEX(dimensao_bairro!B:B,MATCH(tabela_origem!E467,dimensao_bairro!A:A,0))</f>
        <v>Portão</v>
      </c>
      <c r="P467" t="str">
        <f t="shared" si="23"/>
        <v>MÉDIO</v>
      </c>
    </row>
    <row r="468" spans="1:16" x14ac:dyDescent="0.25">
      <c r="A468" s="1">
        <v>46101</v>
      </c>
      <c r="B468" t="s">
        <v>7</v>
      </c>
      <c r="C468" s="2">
        <v>0.72222222222222221</v>
      </c>
      <c r="D468" s="2" t="str">
        <f t="shared" si="21"/>
        <v>17h</v>
      </c>
      <c r="E468" t="s">
        <v>5</v>
      </c>
      <c r="F468" t="str">
        <f>VLOOKUP(E468,dimensao_bairro!A:B,2,FALSE)</f>
        <v>Portão</v>
      </c>
      <c r="G468" t="s">
        <v>9</v>
      </c>
      <c r="H468" s="5">
        <v>7.9</v>
      </c>
      <c r="I468" s="5">
        <v>2</v>
      </c>
      <c r="J468" t="str">
        <f t="shared" si="22"/>
        <v>Curta</v>
      </c>
      <c r="M468" t="str">
        <f>VLOOKUP(E468,dimensao_bairro!A:B,2,FALSE)</f>
        <v>Portão</v>
      </c>
      <c r="O468" t="str">
        <f>INDEX(dimensao_bairro!B:B,MATCH(tabela_origem!E468,dimensao_bairro!A:A,0))</f>
        <v>Portão</v>
      </c>
      <c r="P468" t="str">
        <f t="shared" si="23"/>
        <v>MÉDIO</v>
      </c>
    </row>
    <row r="469" spans="1:16" x14ac:dyDescent="0.25">
      <c r="A469" s="1">
        <v>46101</v>
      </c>
      <c r="B469" t="s">
        <v>7</v>
      </c>
      <c r="C469" s="2">
        <v>0.66527777777777775</v>
      </c>
      <c r="D469" s="2" t="str">
        <f t="shared" si="21"/>
        <v>15h</v>
      </c>
      <c r="E469" t="s">
        <v>12</v>
      </c>
      <c r="F469" t="str">
        <f>VLOOKUP(E469,dimensao_bairro!A:B,2,FALSE)</f>
        <v>Portão</v>
      </c>
      <c r="G469" t="s">
        <v>9</v>
      </c>
      <c r="H469" s="5">
        <v>7.7</v>
      </c>
      <c r="I469" s="5">
        <v>3.7</v>
      </c>
      <c r="J469" t="str">
        <f t="shared" si="22"/>
        <v>Média</v>
      </c>
      <c r="M469" t="str">
        <f>VLOOKUP(E469,dimensao_bairro!A:B,2,FALSE)</f>
        <v>Portão</v>
      </c>
      <c r="O469" t="str">
        <f>INDEX(dimensao_bairro!B:B,MATCH(tabela_origem!E469,dimensao_bairro!A:A,0))</f>
        <v>Portão</v>
      </c>
      <c r="P469" t="str">
        <f t="shared" si="23"/>
        <v>MÉDIO</v>
      </c>
    </row>
    <row r="470" spans="1:16" x14ac:dyDescent="0.25">
      <c r="A470" s="1">
        <v>46101</v>
      </c>
      <c r="B470" t="s">
        <v>7</v>
      </c>
      <c r="C470" s="2">
        <v>0.6694444444444444</v>
      </c>
      <c r="D470" s="2" t="str">
        <f t="shared" si="21"/>
        <v>16h</v>
      </c>
      <c r="E470" t="s">
        <v>9</v>
      </c>
      <c r="F470" t="str">
        <f>VLOOKUP(E470,dimensao_bairro!A:B,2,FALSE)</f>
        <v>Portão</v>
      </c>
      <c r="G470" t="s">
        <v>9</v>
      </c>
      <c r="H470" s="5">
        <v>7.5</v>
      </c>
      <c r="I470" s="5">
        <v>2.5</v>
      </c>
      <c r="J470" t="str">
        <f t="shared" si="22"/>
        <v>Média</v>
      </c>
      <c r="M470" t="str">
        <f>VLOOKUP(E470,dimensao_bairro!A:B,2,FALSE)</f>
        <v>Portão</v>
      </c>
      <c r="O470" t="str">
        <f>INDEX(dimensao_bairro!B:B,MATCH(tabela_origem!E470,dimensao_bairro!A:A,0))</f>
        <v>Portão</v>
      </c>
      <c r="P470" t="str">
        <f t="shared" si="23"/>
        <v>MÉDIO</v>
      </c>
    </row>
    <row r="471" spans="1:16" x14ac:dyDescent="0.25">
      <c r="A471" s="1">
        <v>46101</v>
      </c>
      <c r="B471" t="s">
        <v>7</v>
      </c>
      <c r="C471" s="2">
        <v>0.63888888888888895</v>
      </c>
      <c r="D471" s="2" t="str">
        <f t="shared" si="21"/>
        <v>15h</v>
      </c>
      <c r="E471" t="s">
        <v>6</v>
      </c>
      <c r="F471" t="str">
        <f>VLOOKUP(E471,dimensao_bairro!A:B,2,FALSE)</f>
        <v>Portão</v>
      </c>
      <c r="G471" t="s">
        <v>8</v>
      </c>
      <c r="H471" s="5">
        <v>7.1</v>
      </c>
      <c r="I471" s="5">
        <v>2.2999999999999998</v>
      </c>
      <c r="J471" t="str">
        <f t="shared" si="22"/>
        <v>Média</v>
      </c>
      <c r="M471" t="str">
        <f>VLOOKUP(E471,dimensao_bairro!A:B,2,FALSE)</f>
        <v>Portão</v>
      </c>
      <c r="O471" t="str">
        <f>INDEX(dimensao_bairro!B:B,MATCH(tabela_origem!E471,dimensao_bairro!A:A,0))</f>
        <v>Portão</v>
      </c>
      <c r="P471" t="str">
        <f t="shared" si="23"/>
        <v>MÉDIO</v>
      </c>
    </row>
    <row r="472" spans="1:16" x14ac:dyDescent="0.25">
      <c r="A472" s="1">
        <v>46101</v>
      </c>
      <c r="B472" t="s">
        <v>7</v>
      </c>
      <c r="C472" s="2">
        <v>0.7055555555555556</v>
      </c>
      <c r="D472" s="2" t="str">
        <f t="shared" si="21"/>
        <v>16h</v>
      </c>
      <c r="E472" t="s">
        <v>26</v>
      </c>
      <c r="F472" t="str">
        <f>VLOOKUP(E472,dimensao_bairro!A:B,2,FALSE)</f>
        <v>Portão</v>
      </c>
      <c r="G472" t="s">
        <v>9</v>
      </c>
      <c r="H472" s="5">
        <v>6.9</v>
      </c>
      <c r="I472" s="5">
        <v>0.8</v>
      </c>
      <c r="J472" t="str">
        <f t="shared" si="22"/>
        <v>Curta</v>
      </c>
      <c r="M472" t="str">
        <f>VLOOKUP(E472,dimensao_bairro!A:B,2,FALSE)</f>
        <v>Portão</v>
      </c>
      <c r="O472" t="str">
        <f>INDEX(dimensao_bairro!B:B,MATCH(tabela_origem!E472,dimensao_bairro!A:A,0))</f>
        <v>Portão</v>
      </c>
      <c r="P472" t="str">
        <f t="shared" si="23"/>
        <v>BAIXO</v>
      </c>
    </row>
    <row r="473" spans="1:16" x14ac:dyDescent="0.25">
      <c r="A473" s="1">
        <v>46101</v>
      </c>
      <c r="B473" t="s">
        <v>7</v>
      </c>
      <c r="C473" s="2">
        <v>0.63124999999999998</v>
      </c>
      <c r="D473" s="2" t="str">
        <f t="shared" si="21"/>
        <v>15h</v>
      </c>
      <c r="E473" t="s">
        <v>9</v>
      </c>
      <c r="F473" t="str">
        <f>VLOOKUP(E473,dimensao_bairro!A:B,2,FALSE)</f>
        <v>Portão</v>
      </c>
      <c r="G473" t="s">
        <v>26</v>
      </c>
      <c r="H473" s="5">
        <v>6.5</v>
      </c>
      <c r="I473" s="5">
        <v>2.2999999999999998</v>
      </c>
      <c r="J473" t="str">
        <f t="shared" si="22"/>
        <v>Média</v>
      </c>
      <c r="M473" t="str">
        <f>VLOOKUP(E473,dimensao_bairro!A:B,2,FALSE)</f>
        <v>Portão</v>
      </c>
      <c r="O473" t="str">
        <f>INDEX(dimensao_bairro!B:B,MATCH(tabela_origem!E473,dimensao_bairro!A:A,0))</f>
        <v>Portão</v>
      </c>
      <c r="P473" t="str">
        <f t="shared" si="23"/>
        <v>BAIXO</v>
      </c>
    </row>
    <row r="474" spans="1:16" x14ac:dyDescent="0.25">
      <c r="A474" s="1">
        <v>46101</v>
      </c>
      <c r="B474" t="s">
        <v>7</v>
      </c>
      <c r="C474" s="2">
        <v>0.69236111111111109</v>
      </c>
      <c r="D474" s="2" t="str">
        <f t="shared" si="21"/>
        <v>16h</v>
      </c>
      <c r="E474" t="s">
        <v>12</v>
      </c>
      <c r="F474" t="str">
        <f>VLOOKUP(E474,dimensao_bairro!A:B,2,FALSE)</f>
        <v>Portão</v>
      </c>
      <c r="G474" t="s">
        <v>8</v>
      </c>
      <c r="H474" s="5">
        <v>6.5</v>
      </c>
      <c r="I474" s="5">
        <v>2.4</v>
      </c>
      <c r="J474" t="str">
        <f t="shared" si="22"/>
        <v>Média</v>
      </c>
      <c r="M474" t="str">
        <f>VLOOKUP(E474,dimensao_bairro!A:B,2,FALSE)</f>
        <v>Portão</v>
      </c>
      <c r="O474" t="str">
        <f>INDEX(dimensao_bairro!B:B,MATCH(tabela_origem!E474,dimensao_bairro!A:A,0))</f>
        <v>Portão</v>
      </c>
      <c r="P474" t="str">
        <f t="shared" si="23"/>
        <v>BAIXO</v>
      </c>
    </row>
    <row r="475" spans="1:16" x14ac:dyDescent="0.25">
      <c r="A475" s="1">
        <v>46101</v>
      </c>
      <c r="B475" t="s">
        <v>7</v>
      </c>
      <c r="C475" s="2">
        <v>0.65277777777777779</v>
      </c>
      <c r="D475" s="2" t="str">
        <f t="shared" si="21"/>
        <v>15h</v>
      </c>
      <c r="E475" t="s">
        <v>5</v>
      </c>
      <c r="F475" t="str">
        <f>VLOOKUP(E475,dimensao_bairro!A:B,2,FALSE)</f>
        <v>Portão</v>
      </c>
      <c r="G475" t="s">
        <v>26</v>
      </c>
      <c r="H475" s="5">
        <v>6.5</v>
      </c>
      <c r="I475" s="5">
        <v>0.9</v>
      </c>
      <c r="J475" t="str">
        <f t="shared" si="22"/>
        <v>Curta</v>
      </c>
      <c r="M475" t="str">
        <f>VLOOKUP(E475,dimensao_bairro!A:B,2,FALSE)</f>
        <v>Portão</v>
      </c>
      <c r="O475" t="str">
        <f>INDEX(dimensao_bairro!B:B,MATCH(tabela_origem!E475,dimensao_bairro!A:A,0))</f>
        <v>Portão</v>
      </c>
      <c r="P475" t="str">
        <f t="shared" si="23"/>
        <v>BAIXO</v>
      </c>
    </row>
    <row r="476" spans="1:16" x14ac:dyDescent="0.25">
      <c r="A476" s="1">
        <v>46101</v>
      </c>
      <c r="B476" t="s">
        <v>7</v>
      </c>
      <c r="C476" s="2">
        <v>0.70000000000000007</v>
      </c>
      <c r="D476" s="2" t="str">
        <f t="shared" si="21"/>
        <v>16h</v>
      </c>
      <c r="E476" t="s">
        <v>8</v>
      </c>
      <c r="F476" t="str">
        <f>VLOOKUP(E476,dimensao_bairro!A:B,2,FALSE)</f>
        <v>Portão</v>
      </c>
      <c r="G476" t="s">
        <v>6</v>
      </c>
      <c r="H476" s="5">
        <v>6.5</v>
      </c>
      <c r="I476" s="5">
        <v>2.2000000000000002</v>
      </c>
      <c r="J476" t="str">
        <f t="shared" si="22"/>
        <v>Média</v>
      </c>
      <c r="M476" t="str">
        <f>VLOOKUP(E476,dimensao_bairro!A:B,2,FALSE)</f>
        <v>Portão</v>
      </c>
      <c r="O476" t="str">
        <f>INDEX(dimensao_bairro!B:B,MATCH(tabela_origem!E476,dimensao_bairro!A:A,0))</f>
        <v>Portão</v>
      </c>
      <c r="P476" t="str">
        <f t="shared" si="23"/>
        <v>BAIXO</v>
      </c>
    </row>
    <row r="477" spans="1:16" x14ac:dyDescent="0.25">
      <c r="A477" s="1">
        <v>46101</v>
      </c>
      <c r="B477" t="s">
        <v>7</v>
      </c>
      <c r="C477" s="2">
        <v>0.6958333333333333</v>
      </c>
      <c r="D477" s="2" t="str">
        <f t="shared" si="21"/>
        <v>16h</v>
      </c>
      <c r="E477" t="s">
        <v>26</v>
      </c>
      <c r="F477" t="str">
        <f>VLOOKUP(E477,dimensao_bairro!A:B,2,FALSE)</f>
        <v>Portão</v>
      </c>
      <c r="G477" t="s">
        <v>26</v>
      </c>
      <c r="H477" s="5">
        <v>6.5</v>
      </c>
      <c r="I477" s="5">
        <v>2.6</v>
      </c>
      <c r="J477" t="str">
        <f t="shared" si="22"/>
        <v>Média</v>
      </c>
      <c r="M477" t="str">
        <f>VLOOKUP(E477,dimensao_bairro!A:B,2,FALSE)</f>
        <v>Portão</v>
      </c>
      <c r="O477" t="str">
        <f>INDEX(dimensao_bairro!B:B,MATCH(tabela_origem!E477,dimensao_bairro!A:A,0))</f>
        <v>Portão</v>
      </c>
      <c r="P477" t="str">
        <f t="shared" si="23"/>
        <v>BAIXO</v>
      </c>
    </row>
    <row r="478" spans="1:16" x14ac:dyDescent="0.25">
      <c r="A478" s="1">
        <v>46101</v>
      </c>
      <c r="B478" t="s">
        <v>7</v>
      </c>
      <c r="C478" s="2">
        <v>0.73611111111111116</v>
      </c>
      <c r="D478" s="2" t="str">
        <f t="shared" si="21"/>
        <v>17h</v>
      </c>
      <c r="E478" t="s">
        <v>26</v>
      </c>
      <c r="F478" t="str">
        <f>VLOOKUP(E478,dimensao_bairro!A:B,2,FALSE)</f>
        <v>Portão</v>
      </c>
      <c r="G478" t="s">
        <v>5</v>
      </c>
      <c r="H478" s="5">
        <v>6.5</v>
      </c>
      <c r="I478" s="5">
        <v>2.2000000000000002</v>
      </c>
      <c r="J478" t="str">
        <f t="shared" si="22"/>
        <v>Média</v>
      </c>
      <c r="M478" t="str">
        <f>VLOOKUP(E478,dimensao_bairro!A:B,2,FALSE)</f>
        <v>Portão</v>
      </c>
      <c r="O478" t="str">
        <f>INDEX(dimensao_bairro!B:B,MATCH(tabela_origem!E478,dimensao_bairro!A:A,0))</f>
        <v>Portão</v>
      </c>
      <c r="P478" t="str">
        <f t="shared" si="23"/>
        <v>BAIXO</v>
      </c>
    </row>
    <row r="479" spans="1:16" x14ac:dyDescent="0.25">
      <c r="A479" s="1">
        <v>46101</v>
      </c>
      <c r="B479" t="s">
        <v>7</v>
      </c>
      <c r="C479" s="2">
        <v>0.62638888888888888</v>
      </c>
      <c r="D479" s="2" t="str">
        <f t="shared" si="21"/>
        <v>15h</v>
      </c>
      <c r="E479" t="s">
        <v>10</v>
      </c>
      <c r="F479" t="str">
        <f>VLOOKUP(E479,dimensao_bairro!A:B,2,FALSE)</f>
        <v>Portão</v>
      </c>
      <c r="G479" t="s">
        <v>6</v>
      </c>
      <c r="H479" s="5">
        <v>6.5</v>
      </c>
      <c r="I479" s="5">
        <v>0.8</v>
      </c>
      <c r="J479" t="str">
        <f t="shared" si="22"/>
        <v>Curta</v>
      </c>
      <c r="M479" t="str">
        <f>VLOOKUP(E479,dimensao_bairro!A:B,2,FALSE)</f>
        <v>Portão</v>
      </c>
      <c r="O479" t="str">
        <f>INDEX(dimensao_bairro!B:B,MATCH(tabela_origem!E479,dimensao_bairro!A:A,0))</f>
        <v>Portão</v>
      </c>
      <c r="P479" t="str">
        <f t="shared" si="23"/>
        <v>BAIXO</v>
      </c>
    </row>
    <row r="480" spans="1:16" x14ac:dyDescent="0.25">
      <c r="A480" s="1">
        <v>46101</v>
      </c>
      <c r="B480" t="s">
        <v>7</v>
      </c>
      <c r="C480" s="2">
        <v>0.63541666666666663</v>
      </c>
      <c r="D480" s="2" t="str">
        <f t="shared" si="21"/>
        <v>15h</v>
      </c>
      <c r="E480" t="s">
        <v>6</v>
      </c>
      <c r="F480" t="str">
        <f>VLOOKUP(E480,dimensao_bairro!A:B,2,FALSE)</f>
        <v>Portão</v>
      </c>
      <c r="G480" t="s">
        <v>9</v>
      </c>
      <c r="H480" s="5">
        <v>6.5</v>
      </c>
      <c r="I480" s="5">
        <v>1.5</v>
      </c>
      <c r="J480" t="str">
        <f t="shared" si="22"/>
        <v>Curta</v>
      </c>
      <c r="M480" t="str">
        <f>VLOOKUP(E480,dimensao_bairro!A:B,2,FALSE)</f>
        <v>Portão</v>
      </c>
      <c r="O480" t="str">
        <f>INDEX(dimensao_bairro!B:B,MATCH(tabela_origem!E480,dimensao_bairro!A:A,0))</f>
        <v>Portão</v>
      </c>
      <c r="P480" t="str">
        <f t="shared" si="23"/>
        <v>BAIXO</v>
      </c>
    </row>
    <row r="481" spans="1:16" x14ac:dyDescent="0.25">
      <c r="A481" s="1">
        <v>46104</v>
      </c>
      <c r="B481" t="s">
        <v>7</v>
      </c>
      <c r="C481" s="2">
        <v>0.7104166666666667</v>
      </c>
      <c r="D481" s="2" t="str">
        <f t="shared" si="21"/>
        <v>17h</v>
      </c>
      <c r="E481" t="s">
        <v>6</v>
      </c>
      <c r="F481" t="str">
        <f>VLOOKUP(E481,dimensao_bairro!A:B,2,FALSE)</f>
        <v>Portão</v>
      </c>
      <c r="G481" t="s">
        <v>9</v>
      </c>
      <c r="H481" s="5">
        <v>11.6</v>
      </c>
      <c r="I481" s="5">
        <v>3.5</v>
      </c>
      <c r="J481" t="str">
        <f t="shared" si="22"/>
        <v>Média</v>
      </c>
      <c r="M481" t="str">
        <f>VLOOKUP(E481,dimensao_bairro!A:B,2,FALSE)</f>
        <v>Portão</v>
      </c>
      <c r="O481" t="str">
        <f>INDEX(dimensao_bairro!B:B,MATCH(tabela_origem!E481,dimensao_bairro!A:A,0))</f>
        <v>Portão</v>
      </c>
      <c r="P481" t="str">
        <f t="shared" si="23"/>
        <v>ALTO</v>
      </c>
    </row>
    <row r="482" spans="1:16" x14ac:dyDescent="0.25">
      <c r="A482" s="1">
        <v>46104</v>
      </c>
      <c r="B482" t="s">
        <v>7</v>
      </c>
      <c r="C482" s="2">
        <v>0.78055555555555556</v>
      </c>
      <c r="D482" s="2" t="str">
        <f t="shared" si="21"/>
        <v>18h</v>
      </c>
      <c r="E482" t="s">
        <v>8</v>
      </c>
      <c r="F482" t="str">
        <f>VLOOKUP(E482,dimensao_bairro!A:B,2,FALSE)</f>
        <v>Portão</v>
      </c>
      <c r="G482" t="s">
        <v>10</v>
      </c>
      <c r="H482" s="5">
        <v>11</v>
      </c>
      <c r="I482" s="5">
        <v>3.6</v>
      </c>
      <c r="J482" t="str">
        <f t="shared" si="22"/>
        <v>Média</v>
      </c>
      <c r="M482" t="str">
        <f>VLOOKUP(E482,dimensao_bairro!A:B,2,FALSE)</f>
        <v>Portão</v>
      </c>
      <c r="O482" t="str">
        <f>INDEX(dimensao_bairro!B:B,MATCH(tabela_origem!E482,dimensao_bairro!A:A,0))</f>
        <v>Portão</v>
      </c>
      <c r="P482" t="str">
        <f t="shared" si="23"/>
        <v>ALTO</v>
      </c>
    </row>
    <row r="483" spans="1:16" x14ac:dyDescent="0.25">
      <c r="A483" s="1">
        <v>46104</v>
      </c>
      <c r="B483" t="s">
        <v>7</v>
      </c>
      <c r="C483" s="2">
        <v>0.75555555555555554</v>
      </c>
      <c r="D483" s="2" t="str">
        <f t="shared" si="21"/>
        <v>18h</v>
      </c>
      <c r="E483" t="s">
        <v>6</v>
      </c>
      <c r="F483" t="str">
        <f>VLOOKUP(E483,dimensao_bairro!A:B,2,FALSE)</f>
        <v>Portão</v>
      </c>
      <c r="G483" t="s">
        <v>5</v>
      </c>
      <c r="H483" s="5">
        <v>10.06</v>
      </c>
      <c r="I483" s="5">
        <v>3.1</v>
      </c>
      <c r="J483" t="str">
        <f t="shared" si="22"/>
        <v>Média</v>
      </c>
      <c r="M483" t="str">
        <f>VLOOKUP(E483,dimensao_bairro!A:B,2,FALSE)</f>
        <v>Portão</v>
      </c>
      <c r="O483" t="str">
        <f>INDEX(dimensao_bairro!B:B,MATCH(tabela_origem!E483,dimensao_bairro!A:A,0))</f>
        <v>Portão</v>
      </c>
      <c r="P483" t="str">
        <f t="shared" si="23"/>
        <v>ALTO</v>
      </c>
    </row>
    <row r="484" spans="1:16" x14ac:dyDescent="0.25">
      <c r="A484" s="1">
        <v>46104</v>
      </c>
      <c r="B484" t="s">
        <v>7</v>
      </c>
      <c r="C484" s="2">
        <v>0.72361111111111109</v>
      </c>
      <c r="D484" s="2" t="str">
        <f t="shared" si="21"/>
        <v>17h</v>
      </c>
      <c r="E484" t="s">
        <v>36</v>
      </c>
      <c r="F484" t="str">
        <f>VLOOKUP(E484,dimensao_bairro!A:B,2,FALSE)</f>
        <v>Portão</v>
      </c>
      <c r="G484" t="s">
        <v>13</v>
      </c>
      <c r="H484" s="5">
        <v>9.5</v>
      </c>
      <c r="I484" s="5">
        <v>3.6</v>
      </c>
      <c r="J484" t="str">
        <f t="shared" si="22"/>
        <v>Média</v>
      </c>
      <c r="M484" t="str">
        <f>VLOOKUP(E484,dimensao_bairro!A:B,2,FALSE)</f>
        <v>Portão</v>
      </c>
      <c r="O484" t="str">
        <f>INDEX(dimensao_bairro!B:B,MATCH(tabela_origem!E484,dimensao_bairro!A:A,0))</f>
        <v>Portão</v>
      </c>
      <c r="P484" t="str">
        <f t="shared" si="23"/>
        <v>MÉDIO</v>
      </c>
    </row>
    <row r="485" spans="1:16" x14ac:dyDescent="0.25">
      <c r="A485" s="1">
        <v>46104</v>
      </c>
      <c r="B485" t="s">
        <v>7</v>
      </c>
      <c r="C485" s="2">
        <v>0.78888888888888886</v>
      </c>
      <c r="D485" s="2" t="str">
        <f t="shared" si="21"/>
        <v>18h</v>
      </c>
      <c r="E485" t="s">
        <v>9</v>
      </c>
      <c r="F485" t="str">
        <f>VLOOKUP(E485,dimensao_bairro!A:B,2,FALSE)</f>
        <v>Portão</v>
      </c>
      <c r="G485" t="s">
        <v>26</v>
      </c>
      <c r="H485" s="5">
        <v>8.3000000000000007</v>
      </c>
      <c r="I485" s="5">
        <v>3.7</v>
      </c>
      <c r="J485" t="str">
        <f t="shared" si="22"/>
        <v>Média</v>
      </c>
      <c r="M485" t="str">
        <f>VLOOKUP(E485,dimensao_bairro!A:B,2,FALSE)</f>
        <v>Portão</v>
      </c>
      <c r="O485" t="str">
        <f>INDEX(dimensao_bairro!B:B,MATCH(tabela_origem!E485,dimensao_bairro!A:A,0))</f>
        <v>Portão</v>
      </c>
      <c r="P485" t="str">
        <f t="shared" si="23"/>
        <v>MÉDIO</v>
      </c>
    </row>
    <row r="486" spans="1:16" x14ac:dyDescent="0.25">
      <c r="A486" s="1">
        <v>46104</v>
      </c>
      <c r="B486" t="s">
        <v>7</v>
      </c>
      <c r="C486" s="2">
        <v>0.6958333333333333</v>
      </c>
      <c r="D486" s="2" t="str">
        <f t="shared" si="21"/>
        <v>16h</v>
      </c>
      <c r="E486" t="s">
        <v>6</v>
      </c>
      <c r="F486" t="str">
        <f>VLOOKUP(E486,dimensao_bairro!A:B,2,FALSE)</f>
        <v>Portão</v>
      </c>
      <c r="G486" t="s">
        <v>8</v>
      </c>
      <c r="H486" s="5">
        <v>7.8</v>
      </c>
      <c r="I486" s="5">
        <v>2.8</v>
      </c>
      <c r="J486" t="str">
        <f t="shared" si="22"/>
        <v>Média</v>
      </c>
      <c r="M486" t="str">
        <f>VLOOKUP(E486,dimensao_bairro!A:B,2,FALSE)</f>
        <v>Portão</v>
      </c>
      <c r="O486" t="str">
        <f>INDEX(dimensao_bairro!B:B,MATCH(tabela_origem!E486,dimensao_bairro!A:A,0))</f>
        <v>Portão</v>
      </c>
      <c r="P486" t="str">
        <f t="shared" si="23"/>
        <v>MÉDIO</v>
      </c>
    </row>
    <row r="487" spans="1:16" x14ac:dyDescent="0.25">
      <c r="A487" s="1">
        <v>46104</v>
      </c>
      <c r="B487" t="s">
        <v>7</v>
      </c>
      <c r="C487" s="2">
        <v>0.73749999999999993</v>
      </c>
      <c r="D487" s="2" t="str">
        <f t="shared" si="21"/>
        <v>17h</v>
      </c>
      <c r="E487" t="s">
        <v>5</v>
      </c>
      <c r="F487" t="str">
        <f>VLOOKUP(E487,dimensao_bairro!A:B,2,FALSE)</f>
        <v>Portão</v>
      </c>
      <c r="G487" t="s">
        <v>37</v>
      </c>
      <c r="H487" s="5">
        <v>7.5</v>
      </c>
      <c r="I487" s="5">
        <v>2.1</v>
      </c>
      <c r="J487" t="str">
        <f t="shared" si="22"/>
        <v>Média</v>
      </c>
      <c r="M487" t="str">
        <f>VLOOKUP(E487,dimensao_bairro!A:B,2,FALSE)</f>
        <v>Portão</v>
      </c>
      <c r="O487" t="str">
        <f>INDEX(dimensao_bairro!B:B,MATCH(tabela_origem!E487,dimensao_bairro!A:A,0))</f>
        <v>Portão</v>
      </c>
      <c r="P487" t="str">
        <f t="shared" si="23"/>
        <v>MÉDIO</v>
      </c>
    </row>
    <row r="488" spans="1:16" x14ac:dyDescent="0.25">
      <c r="A488" s="1">
        <v>46104</v>
      </c>
      <c r="B488" t="s">
        <v>7</v>
      </c>
      <c r="C488" s="2">
        <v>0.71875</v>
      </c>
      <c r="D488" s="2" t="str">
        <f t="shared" si="21"/>
        <v>17h</v>
      </c>
      <c r="E488" t="s">
        <v>9</v>
      </c>
      <c r="F488" t="str">
        <f>VLOOKUP(E488,dimensao_bairro!A:B,2,FALSE)</f>
        <v>Portão</v>
      </c>
      <c r="G488" t="s">
        <v>9</v>
      </c>
      <c r="H488" s="5">
        <v>7.4</v>
      </c>
      <c r="I488" s="5">
        <v>1.5</v>
      </c>
      <c r="J488" t="str">
        <f t="shared" si="22"/>
        <v>Curta</v>
      </c>
      <c r="M488" t="str">
        <f>VLOOKUP(E488,dimensao_bairro!A:B,2,FALSE)</f>
        <v>Portão</v>
      </c>
      <c r="O488" t="str">
        <f>INDEX(dimensao_bairro!B:B,MATCH(tabela_origem!E488,dimensao_bairro!A:A,0))</f>
        <v>Portão</v>
      </c>
      <c r="P488" t="str">
        <f t="shared" si="23"/>
        <v>MÉDIO</v>
      </c>
    </row>
    <row r="489" spans="1:16" x14ac:dyDescent="0.25">
      <c r="A489" s="1">
        <v>46104</v>
      </c>
      <c r="B489" t="s">
        <v>7</v>
      </c>
      <c r="C489" s="2">
        <v>0.82916666666666661</v>
      </c>
      <c r="D489" s="2" t="str">
        <f t="shared" si="21"/>
        <v>19h</v>
      </c>
      <c r="E489" t="s">
        <v>38</v>
      </c>
      <c r="F489" t="str">
        <f>VLOOKUP(E489,dimensao_bairro!A:B,2,FALSE)</f>
        <v>Matriz</v>
      </c>
      <c r="G489" t="s">
        <v>27</v>
      </c>
      <c r="H489" s="5">
        <v>7.3</v>
      </c>
      <c r="I489" s="5">
        <v>2.4</v>
      </c>
      <c r="J489" t="str">
        <f t="shared" si="22"/>
        <v>Média</v>
      </c>
      <c r="M489" t="str">
        <f>VLOOKUP(E489,dimensao_bairro!A:B,2,FALSE)</f>
        <v>Matriz</v>
      </c>
      <c r="O489" t="str">
        <f>INDEX(dimensao_bairro!B:B,MATCH(tabela_origem!E489,dimensao_bairro!A:A,0))</f>
        <v>Matriz</v>
      </c>
      <c r="P489" t="str">
        <f t="shared" si="23"/>
        <v>MÉDIO</v>
      </c>
    </row>
    <row r="490" spans="1:16" x14ac:dyDescent="0.25">
      <c r="A490" s="1">
        <v>46104</v>
      </c>
      <c r="B490" t="s">
        <v>7</v>
      </c>
      <c r="C490" s="2">
        <v>0.6645833333333333</v>
      </c>
      <c r="D490" s="2" t="str">
        <f t="shared" si="21"/>
        <v>15h</v>
      </c>
      <c r="E490" t="s">
        <v>27</v>
      </c>
      <c r="F490" t="str">
        <f>VLOOKUP(E490,dimensao_bairro!A:B,2,FALSE)</f>
        <v>Pinheirinho</v>
      </c>
      <c r="G490" t="s">
        <v>9</v>
      </c>
      <c r="H490" s="5">
        <v>7.2</v>
      </c>
      <c r="I490" s="5">
        <v>3.3</v>
      </c>
      <c r="J490" t="str">
        <f t="shared" si="22"/>
        <v>Média</v>
      </c>
      <c r="M490" t="str">
        <f>VLOOKUP(E490,dimensao_bairro!A:B,2,FALSE)</f>
        <v>Pinheirinho</v>
      </c>
      <c r="O490" t="str">
        <f>INDEX(dimensao_bairro!B:B,MATCH(tabela_origem!E490,dimensao_bairro!A:A,0))</f>
        <v>Pinheirinho</v>
      </c>
      <c r="P490" t="str">
        <f t="shared" si="23"/>
        <v>MÉDIO</v>
      </c>
    </row>
    <row r="491" spans="1:16" x14ac:dyDescent="0.25">
      <c r="A491" s="1">
        <v>46104</v>
      </c>
      <c r="B491" t="s">
        <v>7</v>
      </c>
      <c r="C491" s="2">
        <v>0.82361111111111107</v>
      </c>
      <c r="D491" s="2" t="str">
        <f t="shared" si="21"/>
        <v>19h</v>
      </c>
      <c r="E491" t="s">
        <v>20</v>
      </c>
      <c r="F491" t="str">
        <f>VLOOKUP(E491,dimensao_bairro!A:B,2,FALSE)</f>
        <v>Matriz</v>
      </c>
      <c r="G491" t="s">
        <v>20</v>
      </c>
      <c r="H491" s="5">
        <v>7.1</v>
      </c>
      <c r="I491" s="5">
        <v>2.1</v>
      </c>
      <c r="J491" t="str">
        <f t="shared" si="22"/>
        <v>Média</v>
      </c>
      <c r="M491" t="str">
        <f>VLOOKUP(E491,dimensao_bairro!A:B,2,FALSE)</f>
        <v>Matriz</v>
      </c>
      <c r="O491" t="str">
        <f>INDEX(dimensao_bairro!B:B,MATCH(tabela_origem!E491,dimensao_bairro!A:A,0))</f>
        <v>Matriz</v>
      </c>
      <c r="P491" t="str">
        <f t="shared" si="23"/>
        <v>MÉDIO</v>
      </c>
    </row>
    <row r="492" spans="1:16" x14ac:dyDescent="0.25">
      <c r="A492" s="1">
        <v>46104</v>
      </c>
      <c r="B492" t="s">
        <v>7</v>
      </c>
      <c r="C492" s="2">
        <v>0.79722222222222217</v>
      </c>
      <c r="D492" s="2" t="str">
        <f t="shared" si="21"/>
        <v>19h</v>
      </c>
      <c r="E492" t="s">
        <v>13</v>
      </c>
      <c r="F492" t="str">
        <f>VLOOKUP(E492,dimensao_bairro!A:B,2,FALSE)</f>
        <v>Matriz</v>
      </c>
      <c r="G492" t="s">
        <v>12</v>
      </c>
      <c r="H492" s="5">
        <v>6.9</v>
      </c>
      <c r="I492" s="5">
        <v>2.4</v>
      </c>
      <c r="J492" t="str">
        <f t="shared" si="22"/>
        <v>Média</v>
      </c>
      <c r="M492" t="str">
        <f>VLOOKUP(E492,dimensao_bairro!A:B,2,FALSE)</f>
        <v>Matriz</v>
      </c>
      <c r="O492" t="str">
        <f>INDEX(dimensao_bairro!B:B,MATCH(tabela_origem!E492,dimensao_bairro!A:A,0))</f>
        <v>Matriz</v>
      </c>
      <c r="P492" t="str">
        <f t="shared" si="23"/>
        <v>BAIXO</v>
      </c>
    </row>
    <row r="493" spans="1:16" x14ac:dyDescent="0.25">
      <c r="A493" s="1">
        <v>46104</v>
      </c>
      <c r="B493" t="s">
        <v>7</v>
      </c>
      <c r="C493" s="2">
        <v>0.67013888888888884</v>
      </c>
      <c r="D493" s="2" t="str">
        <f t="shared" si="21"/>
        <v>16h</v>
      </c>
      <c r="E493" t="s">
        <v>26</v>
      </c>
      <c r="F493" t="str">
        <f>VLOOKUP(E493,dimensao_bairro!A:B,2,FALSE)</f>
        <v>Portão</v>
      </c>
      <c r="G493" t="s">
        <v>6</v>
      </c>
      <c r="H493" s="5">
        <v>6.8</v>
      </c>
      <c r="I493" s="5">
        <v>2.9</v>
      </c>
      <c r="J493" t="str">
        <f t="shared" si="22"/>
        <v>Média</v>
      </c>
      <c r="M493" t="str">
        <f>VLOOKUP(E493,dimensao_bairro!A:B,2,FALSE)</f>
        <v>Portão</v>
      </c>
      <c r="O493" t="str">
        <f>INDEX(dimensao_bairro!B:B,MATCH(tabela_origem!E493,dimensao_bairro!A:A,0))</f>
        <v>Portão</v>
      </c>
      <c r="P493" t="str">
        <f t="shared" si="23"/>
        <v>BAIXO</v>
      </c>
    </row>
    <row r="494" spans="1:16" x14ac:dyDescent="0.25">
      <c r="A494" s="1">
        <v>46104</v>
      </c>
      <c r="B494" t="s">
        <v>7</v>
      </c>
      <c r="C494" s="2">
        <v>0.70486111111111116</v>
      </c>
      <c r="D494" s="2" t="str">
        <f t="shared" si="21"/>
        <v>16h</v>
      </c>
      <c r="E494" t="s">
        <v>26</v>
      </c>
      <c r="F494" t="str">
        <f>VLOOKUP(E494,dimensao_bairro!A:B,2,FALSE)</f>
        <v>Portão</v>
      </c>
      <c r="G494" t="s">
        <v>12</v>
      </c>
      <c r="H494" s="5">
        <v>6.8</v>
      </c>
      <c r="I494" s="5">
        <v>1.9</v>
      </c>
      <c r="J494" t="str">
        <f t="shared" si="22"/>
        <v>Curta</v>
      </c>
      <c r="M494" t="str">
        <f>VLOOKUP(E494,dimensao_bairro!A:B,2,FALSE)</f>
        <v>Portão</v>
      </c>
      <c r="O494" t="str">
        <f>INDEX(dimensao_bairro!B:B,MATCH(tabela_origem!E494,dimensao_bairro!A:A,0))</f>
        <v>Portão</v>
      </c>
      <c r="P494" t="str">
        <f t="shared" si="23"/>
        <v>BAIXO</v>
      </c>
    </row>
    <row r="495" spans="1:16" x14ac:dyDescent="0.25">
      <c r="A495" s="1">
        <v>46104</v>
      </c>
      <c r="B495" t="s">
        <v>7</v>
      </c>
      <c r="C495" s="2">
        <v>0.74444444444444446</v>
      </c>
      <c r="D495" s="2" t="str">
        <f t="shared" si="21"/>
        <v>17h</v>
      </c>
      <c r="E495" t="s">
        <v>8</v>
      </c>
      <c r="F495" t="str">
        <f>VLOOKUP(E495,dimensao_bairro!A:B,2,FALSE)</f>
        <v>Portão</v>
      </c>
      <c r="G495" t="s">
        <v>6</v>
      </c>
      <c r="H495" s="5">
        <v>6.6</v>
      </c>
      <c r="I495" s="5">
        <v>1.6</v>
      </c>
      <c r="J495" t="str">
        <f t="shared" si="22"/>
        <v>Curta</v>
      </c>
      <c r="M495" t="str">
        <f>VLOOKUP(E495,dimensao_bairro!A:B,2,FALSE)</f>
        <v>Portão</v>
      </c>
      <c r="O495" t="str">
        <f>INDEX(dimensao_bairro!B:B,MATCH(tabela_origem!E495,dimensao_bairro!A:A,0))</f>
        <v>Portão</v>
      </c>
      <c r="P495" t="str">
        <f t="shared" si="23"/>
        <v>BAIXO</v>
      </c>
    </row>
    <row r="496" spans="1:16" x14ac:dyDescent="0.25">
      <c r="A496" s="1">
        <v>46104</v>
      </c>
      <c r="B496" t="s">
        <v>7</v>
      </c>
      <c r="C496" s="2">
        <v>0.74930555555555556</v>
      </c>
      <c r="D496" s="2" t="str">
        <f t="shared" si="21"/>
        <v>17h</v>
      </c>
      <c r="E496" t="s">
        <v>8</v>
      </c>
      <c r="F496" t="str">
        <f>VLOOKUP(E496,dimensao_bairro!A:B,2,FALSE)</f>
        <v>Portão</v>
      </c>
      <c r="G496" t="s">
        <v>20</v>
      </c>
      <c r="H496" s="5">
        <v>6.6</v>
      </c>
      <c r="I496" s="5">
        <v>1.8</v>
      </c>
      <c r="J496" t="str">
        <f t="shared" si="22"/>
        <v>Curta</v>
      </c>
      <c r="M496" t="str">
        <f>VLOOKUP(E496,dimensao_bairro!A:B,2,FALSE)</f>
        <v>Portão</v>
      </c>
      <c r="O496" t="str">
        <f>INDEX(dimensao_bairro!B:B,MATCH(tabela_origem!E496,dimensao_bairro!A:A,0))</f>
        <v>Portão</v>
      </c>
      <c r="P496" t="str">
        <f t="shared" si="23"/>
        <v>BAIXO</v>
      </c>
    </row>
    <row r="497" spans="1:16" x14ac:dyDescent="0.25">
      <c r="A497" s="1">
        <v>46104</v>
      </c>
      <c r="B497" t="s">
        <v>7</v>
      </c>
      <c r="C497" s="2">
        <v>0.81736111111111109</v>
      </c>
      <c r="D497" s="2" t="str">
        <f t="shared" si="21"/>
        <v>19h</v>
      </c>
      <c r="E497" t="s">
        <v>13</v>
      </c>
      <c r="F497" t="str">
        <f>VLOOKUP(E497,dimensao_bairro!A:B,2,FALSE)</f>
        <v>Matriz</v>
      </c>
      <c r="G497" t="s">
        <v>6</v>
      </c>
      <c r="H497" s="5">
        <v>6.5</v>
      </c>
      <c r="I497" s="5">
        <v>0.8</v>
      </c>
      <c r="J497" t="str">
        <f t="shared" si="22"/>
        <v>Curta</v>
      </c>
      <c r="M497" t="str">
        <f>VLOOKUP(E497,dimensao_bairro!A:B,2,FALSE)</f>
        <v>Matriz</v>
      </c>
      <c r="O497" t="str">
        <f>INDEX(dimensao_bairro!B:B,MATCH(tabela_origem!E497,dimensao_bairro!A:A,0))</f>
        <v>Matriz</v>
      </c>
      <c r="P497" t="str">
        <f t="shared" si="23"/>
        <v>BAIXO</v>
      </c>
    </row>
    <row r="498" spans="1:16" x14ac:dyDescent="0.25">
      <c r="A498" s="1">
        <v>46104</v>
      </c>
      <c r="B498" t="s">
        <v>7</v>
      </c>
      <c r="C498" s="2">
        <v>0.68958333333333333</v>
      </c>
      <c r="D498" s="2" t="str">
        <f t="shared" si="21"/>
        <v>16h</v>
      </c>
      <c r="E498" t="s">
        <v>12</v>
      </c>
      <c r="F498" t="str">
        <f>VLOOKUP(E498,dimensao_bairro!A:B,2,FALSE)</f>
        <v>Portão</v>
      </c>
      <c r="G498" t="s">
        <v>8</v>
      </c>
      <c r="H498" s="5">
        <v>6.5</v>
      </c>
      <c r="I498" s="5">
        <v>2.5</v>
      </c>
      <c r="J498" t="str">
        <f t="shared" si="22"/>
        <v>Média</v>
      </c>
      <c r="M498" t="str">
        <f>VLOOKUP(E498,dimensao_bairro!A:B,2,FALSE)</f>
        <v>Portão</v>
      </c>
      <c r="O498" t="str">
        <f>INDEX(dimensao_bairro!B:B,MATCH(tabela_origem!E498,dimensao_bairro!A:A,0))</f>
        <v>Portão</v>
      </c>
      <c r="P498" t="str">
        <f t="shared" si="23"/>
        <v>BAIXO</v>
      </c>
    </row>
    <row r="499" spans="1:16" x14ac:dyDescent="0.25">
      <c r="A499" s="1">
        <v>46104</v>
      </c>
      <c r="B499" t="s">
        <v>7</v>
      </c>
      <c r="C499" s="2">
        <v>0.77083333333333337</v>
      </c>
      <c r="D499" s="2" t="str">
        <f t="shared" si="21"/>
        <v>18h</v>
      </c>
      <c r="E499" t="s">
        <v>5</v>
      </c>
      <c r="F499" t="str">
        <f>VLOOKUP(E499,dimensao_bairro!A:B,2,FALSE)</f>
        <v>Portão</v>
      </c>
      <c r="G499" t="s">
        <v>6</v>
      </c>
      <c r="H499" s="5">
        <v>6.5</v>
      </c>
      <c r="I499" s="5">
        <v>1.1000000000000001</v>
      </c>
      <c r="J499" t="str">
        <f t="shared" si="22"/>
        <v>Curta</v>
      </c>
      <c r="M499" t="str">
        <f>VLOOKUP(E499,dimensao_bairro!A:B,2,FALSE)</f>
        <v>Portão</v>
      </c>
      <c r="O499" t="str">
        <f>INDEX(dimensao_bairro!B:B,MATCH(tabela_origem!E499,dimensao_bairro!A:A,0))</f>
        <v>Portão</v>
      </c>
      <c r="P499" t="str">
        <f t="shared" si="23"/>
        <v>BAIXO</v>
      </c>
    </row>
    <row r="500" spans="1:16" x14ac:dyDescent="0.25">
      <c r="A500" s="1">
        <v>46104</v>
      </c>
      <c r="B500" t="s">
        <v>7</v>
      </c>
      <c r="C500" s="2">
        <v>0.6479166666666667</v>
      </c>
      <c r="D500" s="2" t="str">
        <f t="shared" si="21"/>
        <v>15h</v>
      </c>
      <c r="E500" t="s">
        <v>8</v>
      </c>
      <c r="F500" t="str">
        <f>VLOOKUP(E500,dimensao_bairro!A:B,2,FALSE)</f>
        <v>Portão</v>
      </c>
      <c r="G500" t="s">
        <v>12</v>
      </c>
      <c r="H500" s="5">
        <v>6.5</v>
      </c>
      <c r="I500" s="5">
        <v>2.6</v>
      </c>
      <c r="J500" t="str">
        <f t="shared" si="22"/>
        <v>Média</v>
      </c>
      <c r="M500" t="str">
        <f>VLOOKUP(E500,dimensao_bairro!A:B,2,FALSE)</f>
        <v>Portão</v>
      </c>
      <c r="O500" t="str">
        <f>INDEX(dimensao_bairro!B:B,MATCH(tabela_origem!E500,dimensao_bairro!A:A,0))</f>
        <v>Portão</v>
      </c>
      <c r="P500" t="str">
        <f t="shared" si="23"/>
        <v>BAIXO</v>
      </c>
    </row>
    <row r="501" spans="1:16" x14ac:dyDescent="0.25">
      <c r="A501" s="1">
        <v>46104</v>
      </c>
      <c r="B501" t="s">
        <v>7</v>
      </c>
      <c r="C501" s="2">
        <v>0.68263888888888891</v>
      </c>
      <c r="D501" s="2" t="str">
        <f t="shared" si="21"/>
        <v>16h</v>
      </c>
      <c r="E501" t="s">
        <v>10</v>
      </c>
      <c r="F501" t="str">
        <f>VLOOKUP(E501,dimensao_bairro!A:B,2,FALSE)</f>
        <v>Portão</v>
      </c>
      <c r="G501" t="s">
        <v>6</v>
      </c>
      <c r="H501" s="5">
        <v>6.5</v>
      </c>
      <c r="I501" s="5">
        <v>1.4</v>
      </c>
      <c r="J501" t="str">
        <f t="shared" si="22"/>
        <v>Curta</v>
      </c>
      <c r="M501" t="str">
        <f>VLOOKUP(E501,dimensao_bairro!A:B,2,FALSE)</f>
        <v>Portão</v>
      </c>
      <c r="O501" t="str">
        <f>INDEX(dimensao_bairro!B:B,MATCH(tabela_origem!E501,dimensao_bairro!A:A,0))</f>
        <v>Portão</v>
      </c>
      <c r="P501" t="str">
        <f t="shared" si="23"/>
        <v>BAIXO</v>
      </c>
    </row>
    <row r="502" spans="1:16" x14ac:dyDescent="0.25">
      <c r="A502" s="1">
        <v>46104</v>
      </c>
      <c r="B502" t="s">
        <v>7</v>
      </c>
      <c r="C502" s="2">
        <v>0.65416666666666667</v>
      </c>
      <c r="D502" s="2" t="str">
        <f t="shared" si="21"/>
        <v>15h</v>
      </c>
      <c r="E502" t="s">
        <v>6</v>
      </c>
      <c r="F502" t="str">
        <f>VLOOKUP(E502,dimensao_bairro!A:B,2,FALSE)</f>
        <v>Portão</v>
      </c>
      <c r="G502" t="s">
        <v>26</v>
      </c>
      <c r="H502" s="5">
        <v>6.5</v>
      </c>
      <c r="I502" s="5">
        <v>1.4</v>
      </c>
      <c r="J502" t="str">
        <f t="shared" si="22"/>
        <v>Curta</v>
      </c>
      <c r="M502" t="str">
        <f>VLOOKUP(E502,dimensao_bairro!A:B,2,FALSE)</f>
        <v>Portão</v>
      </c>
      <c r="O502" t="str">
        <f>INDEX(dimensao_bairro!B:B,MATCH(tabela_origem!E502,dimensao_bairro!A:A,0))</f>
        <v>Portão</v>
      </c>
      <c r="P502" t="str">
        <f t="shared" si="23"/>
        <v>BAIXO</v>
      </c>
    </row>
    <row r="503" spans="1:16" x14ac:dyDescent="0.25">
      <c r="A503" s="1">
        <v>46104</v>
      </c>
      <c r="B503" t="s">
        <v>7</v>
      </c>
      <c r="C503" s="2">
        <v>0.65902777777777777</v>
      </c>
      <c r="D503" s="2" t="str">
        <f t="shared" si="21"/>
        <v>15h</v>
      </c>
      <c r="E503" t="s">
        <v>6</v>
      </c>
      <c r="F503" t="str">
        <f>VLOOKUP(E503,dimensao_bairro!A:B,2,FALSE)</f>
        <v>Portão</v>
      </c>
      <c r="G503" t="s">
        <v>20</v>
      </c>
      <c r="H503" s="5">
        <v>6.5</v>
      </c>
      <c r="I503" s="5">
        <v>3.1</v>
      </c>
      <c r="J503" t="str">
        <f t="shared" si="22"/>
        <v>Média</v>
      </c>
      <c r="M503" t="str">
        <f>VLOOKUP(E503,dimensao_bairro!A:B,2,FALSE)</f>
        <v>Portão</v>
      </c>
      <c r="O503" t="str">
        <f>INDEX(dimensao_bairro!B:B,MATCH(tabela_origem!E503,dimensao_bairro!A:A,0))</f>
        <v>Portão</v>
      </c>
      <c r="P503" t="str">
        <f t="shared" si="23"/>
        <v>BAIXO</v>
      </c>
    </row>
    <row r="504" spans="1:16" x14ac:dyDescent="0.25">
      <c r="A504" s="1">
        <v>46104</v>
      </c>
      <c r="B504" t="s">
        <v>7</v>
      </c>
      <c r="C504" s="2">
        <v>0.81111111111111101</v>
      </c>
      <c r="D504" s="2" t="str">
        <f t="shared" si="21"/>
        <v>19h</v>
      </c>
      <c r="E504" t="s">
        <v>20</v>
      </c>
      <c r="F504" t="str">
        <f>VLOOKUP(E504,dimensao_bairro!A:B,2,FALSE)</f>
        <v>Matriz</v>
      </c>
      <c r="G504" t="s">
        <v>23</v>
      </c>
      <c r="H504" s="5">
        <v>6.5</v>
      </c>
      <c r="I504" s="5">
        <v>2.2999999999999998</v>
      </c>
      <c r="J504" t="str">
        <f t="shared" si="22"/>
        <v>Média</v>
      </c>
      <c r="M504" t="str">
        <f>VLOOKUP(E504,dimensao_bairro!A:B,2,FALSE)</f>
        <v>Matriz</v>
      </c>
      <c r="O504" t="str">
        <f>INDEX(dimensao_bairro!B:B,MATCH(tabela_origem!E504,dimensao_bairro!A:A,0))</f>
        <v>Matriz</v>
      </c>
      <c r="P504" t="str">
        <f t="shared" si="23"/>
        <v>BAIXO</v>
      </c>
    </row>
    <row r="505" spans="1:16" x14ac:dyDescent="0.25">
      <c r="A505" s="1">
        <v>46105</v>
      </c>
      <c r="B505" t="s">
        <v>7</v>
      </c>
      <c r="C505" s="2">
        <v>0.7729166666666667</v>
      </c>
      <c r="D505" s="2" t="str">
        <f t="shared" si="21"/>
        <v>18h</v>
      </c>
      <c r="E505" t="s">
        <v>26</v>
      </c>
      <c r="F505" t="str">
        <f>VLOOKUP(E505,dimensao_bairro!A:B,2,FALSE)</f>
        <v>Portão</v>
      </c>
      <c r="G505" t="s">
        <v>26</v>
      </c>
      <c r="H505" s="5">
        <v>12.6</v>
      </c>
      <c r="I505" s="5">
        <v>5.5</v>
      </c>
      <c r="J505" t="str">
        <f t="shared" si="22"/>
        <v>Longa</v>
      </c>
      <c r="M505" t="str">
        <f>VLOOKUP(E505,dimensao_bairro!A:B,2,FALSE)</f>
        <v>Portão</v>
      </c>
      <c r="O505" t="str">
        <f>INDEX(dimensao_bairro!B:B,MATCH(tabela_origem!E505,dimensao_bairro!A:A,0))</f>
        <v>Portão</v>
      </c>
      <c r="P505" t="str">
        <f t="shared" si="23"/>
        <v>ALTO</v>
      </c>
    </row>
    <row r="506" spans="1:16" x14ac:dyDescent="0.25">
      <c r="A506" s="1">
        <v>46105</v>
      </c>
      <c r="B506" t="s">
        <v>7</v>
      </c>
      <c r="C506" s="2">
        <v>0.73263888888888884</v>
      </c>
      <c r="D506" s="2" t="str">
        <f t="shared" si="21"/>
        <v>17h</v>
      </c>
      <c r="E506" t="s">
        <v>12</v>
      </c>
      <c r="F506" t="str">
        <f>VLOOKUP(E506,dimensao_bairro!A:B,2,FALSE)</f>
        <v>Portão</v>
      </c>
      <c r="G506" t="s">
        <v>6</v>
      </c>
      <c r="H506" s="5">
        <v>11.6</v>
      </c>
      <c r="I506" s="5">
        <v>3.3</v>
      </c>
      <c r="J506" t="str">
        <f t="shared" si="22"/>
        <v>Média</v>
      </c>
      <c r="M506" t="str">
        <f>VLOOKUP(E506,dimensao_bairro!A:B,2,FALSE)</f>
        <v>Portão</v>
      </c>
      <c r="O506" t="str">
        <f>INDEX(dimensao_bairro!B:B,MATCH(tabela_origem!E506,dimensao_bairro!A:A,0))</f>
        <v>Portão</v>
      </c>
      <c r="P506" t="str">
        <f t="shared" si="23"/>
        <v>ALTO</v>
      </c>
    </row>
    <row r="507" spans="1:16" x14ac:dyDescent="0.25">
      <c r="A507" s="1">
        <v>46105</v>
      </c>
      <c r="B507" t="s">
        <v>7</v>
      </c>
      <c r="C507" s="2">
        <v>0.75624999999999998</v>
      </c>
      <c r="D507" s="2" t="str">
        <f t="shared" si="21"/>
        <v>18h</v>
      </c>
      <c r="E507" t="s">
        <v>20</v>
      </c>
      <c r="F507" t="str">
        <f>VLOOKUP(E507,dimensao_bairro!A:B,2,FALSE)</f>
        <v>Matriz</v>
      </c>
      <c r="G507" t="s">
        <v>20</v>
      </c>
      <c r="H507" s="5">
        <v>10.5</v>
      </c>
      <c r="I507" s="5">
        <v>2.7</v>
      </c>
      <c r="J507" t="str">
        <f t="shared" si="22"/>
        <v>Média</v>
      </c>
      <c r="M507" t="str">
        <f>VLOOKUP(E507,dimensao_bairro!A:B,2,FALSE)</f>
        <v>Matriz</v>
      </c>
      <c r="O507" t="str">
        <f>INDEX(dimensao_bairro!B:B,MATCH(tabela_origem!E507,dimensao_bairro!A:A,0))</f>
        <v>Matriz</v>
      </c>
      <c r="P507" t="str">
        <f t="shared" si="23"/>
        <v>ALTO</v>
      </c>
    </row>
    <row r="508" spans="1:16" x14ac:dyDescent="0.25">
      <c r="A508" s="1">
        <v>46105</v>
      </c>
      <c r="B508" t="s">
        <v>7</v>
      </c>
      <c r="C508" s="2">
        <v>0.67847222222222225</v>
      </c>
      <c r="D508" s="2" t="str">
        <f t="shared" si="21"/>
        <v>16h</v>
      </c>
      <c r="E508" t="s">
        <v>13</v>
      </c>
      <c r="F508" t="str">
        <f>VLOOKUP(E508,dimensao_bairro!A:B,2,FALSE)</f>
        <v>Matriz</v>
      </c>
      <c r="G508" t="s">
        <v>9</v>
      </c>
      <c r="H508" s="5">
        <v>9.1</v>
      </c>
      <c r="I508" s="5">
        <v>2.5</v>
      </c>
      <c r="J508" t="str">
        <f t="shared" si="22"/>
        <v>Média</v>
      </c>
      <c r="M508" t="str">
        <f>VLOOKUP(E508,dimensao_bairro!A:B,2,FALSE)</f>
        <v>Matriz</v>
      </c>
      <c r="O508" t="str">
        <f>INDEX(dimensao_bairro!B:B,MATCH(tabela_origem!E508,dimensao_bairro!A:A,0))</f>
        <v>Matriz</v>
      </c>
      <c r="P508" t="str">
        <f t="shared" si="23"/>
        <v>MÉDIO</v>
      </c>
    </row>
    <row r="509" spans="1:16" x14ac:dyDescent="0.25">
      <c r="A509" s="1">
        <v>46105</v>
      </c>
      <c r="B509" t="s">
        <v>7</v>
      </c>
      <c r="C509" s="2">
        <v>0.68194444444444446</v>
      </c>
      <c r="D509" s="2" t="str">
        <f t="shared" si="21"/>
        <v>16h</v>
      </c>
      <c r="E509" t="s">
        <v>13</v>
      </c>
      <c r="F509" t="str">
        <f>VLOOKUP(E509,dimensao_bairro!A:B,2,FALSE)</f>
        <v>Matriz</v>
      </c>
      <c r="G509" t="s">
        <v>10</v>
      </c>
      <c r="H509" s="5">
        <v>8.1999999999999993</v>
      </c>
      <c r="I509" s="5">
        <v>2.8</v>
      </c>
      <c r="J509" t="str">
        <f t="shared" si="22"/>
        <v>Média</v>
      </c>
      <c r="M509" t="str">
        <f>VLOOKUP(E509,dimensao_bairro!A:B,2,FALSE)</f>
        <v>Matriz</v>
      </c>
      <c r="O509" t="str">
        <f>INDEX(dimensao_bairro!B:B,MATCH(tabela_origem!E509,dimensao_bairro!A:A,0))</f>
        <v>Matriz</v>
      </c>
      <c r="P509" t="str">
        <f t="shared" si="23"/>
        <v>MÉDIO</v>
      </c>
    </row>
    <row r="510" spans="1:16" x14ac:dyDescent="0.25">
      <c r="A510" s="1">
        <v>46105</v>
      </c>
      <c r="B510" t="s">
        <v>7</v>
      </c>
      <c r="C510" s="2">
        <v>0.71111111111111114</v>
      </c>
      <c r="D510" s="2" t="str">
        <f t="shared" si="21"/>
        <v>17h</v>
      </c>
      <c r="E510" t="s">
        <v>20</v>
      </c>
      <c r="F510" t="str">
        <f>VLOOKUP(E510,dimensao_bairro!A:B,2,FALSE)</f>
        <v>Matriz</v>
      </c>
      <c r="G510" t="s">
        <v>9</v>
      </c>
      <c r="H510" s="5">
        <v>8</v>
      </c>
      <c r="I510" s="5">
        <v>1.4</v>
      </c>
      <c r="J510" t="str">
        <f t="shared" si="22"/>
        <v>Curta</v>
      </c>
      <c r="M510" t="str">
        <f>VLOOKUP(E510,dimensao_bairro!A:B,2,FALSE)</f>
        <v>Matriz</v>
      </c>
      <c r="O510" t="str">
        <f>INDEX(dimensao_bairro!B:B,MATCH(tabela_origem!E510,dimensao_bairro!A:A,0))</f>
        <v>Matriz</v>
      </c>
      <c r="P510" t="str">
        <f t="shared" si="23"/>
        <v>MÉDIO</v>
      </c>
    </row>
    <row r="511" spans="1:16" x14ac:dyDescent="0.25">
      <c r="A511" s="1">
        <v>46105</v>
      </c>
      <c r="B511" t="s">
        <v>7</v>
      </c>
      <c r="C511" s="2">
        <v>0.69166666666666676</v>
      </c>
      <c r="D511" s="2" t="str">
        <f t="shared" si="21"/>
        <v>16h</v>
      </c>
      <c r="E511" t="s">
        <v>9</v>
      </c>
      <c r="F511" t="str">
        <f>VLOOKUP(E511,dimensao_bairro!A:B,2,FALSE)</f>
        <v>Portão</v>
      </c>
      <c r="G511" t="s">
        <v>39</v>
      </c>
      <c r="H511" s="5">
        <v>7.7</v>
      </c>
      <c r="I511" s="5">
        <v>1.8</v>
      </c>
      <c r="J511" t="str">
        <f t="shared" si="22"/>
        <v>Curta</v>
      </c>
      <c r="M511" t="str">
        <f>VLOOKUP(E511,dimensao_bairro!A:B,2,FALSE)</f>
        <v>Portão</v>
      </c>
      <c r="O511" t="str">
        <f>INDEX(dimensao_bairro!B:B,MATCH(tabela_origem!E511,dimensao_bairro!A:A,0))</f>
        <v>Portão</v>
      </c>
      <c r="P511" t="str">
        <f t="shared" si="23"/>
        <v>MÉDIO</v>
      </c>
    </row>
    <row r="512" spans="1:16" x14ac:dyDescent="0.25">
      <c r="A512" s="1">
        <v>46105</v>
      </c>
      <c r="B512" t="s">
        <v>7</v>
      </c>
      <c r="C512" s="2">
        <v>0.72291666666666676</v>
      </c>
      <c r="D512" s="2" t="str">
        <f t="shared" si="21"/>
        <v>17h</v>
      </c>
      <c r="E512" t="s">
        <v>10</v>
      </c>
      <c r="F512" t="str">
        <f>VLOOKUP(E512,dimensao_bairro!A:B,2,FALSE)</f>
        <v>Portão</v>
      </c>
      <c r="G512" t="s">
        <v>13</v>
      </c>
      <c r="H512" s="5">
        <v>7.7</v>
      </c>
      <c r="I512" s="5">
        <v>1.3</v>
      </c>
      <c r="J512" t="str">
        <f t="shared" si="22"/>
        <v>Curta</v>
      </c>
      <c r="M512" t="str">
        <f>VLOOKUP(E512,dimensao_bairro!A:B,2,FALSE)</f>
        <v>Portão</v>
      </c>
      <c r="O512" t="str">
        <f>INDEX(dimensao_bairro!B:B,MATCH(tabela_origem!E512,dimensao_bairro!A:A,0))</f>
        <v>Portão</v>
      </c>
      <c r="P512" t="str">
        <f t="shared" si="23"/>
        <v>MÉDIO</v>
      </c>
    </row>
    <row r="513" spans="1:16" x14ac:dyDescent="0.25">
      <c r="A513" s="1">
        <v>46105</v>
      </c>
      <c r="B513" t="s">
        <v>7</v>
      </c>
      <c r="C513" s="2">
        <v>0.66666666666666663</v>
      </c>
      <c r="D513" s="2" t="str">
        <f t="shared" si="21"/>
        <v>16h</v>
      </c>
      <c r="E513" t="s">
        <v>13</v>
      </c>
      <c r="F513" t="str">
        <f>VLOOKUP(E513,dimensao_bairro!A:B,2,FALSE)</f>
        <v>Matriz</v>
      </c>
      <c r="G513" t="s">
        <v>18</v>
      </c>
      <c r="H513" s="5">
        <v>7.3</v>
      </c>
      <c r="I513" s="5">
        <v>1.8</v>
      </c>
      <c r="J513" t="str">
        <f t="shared" si="22"/>
        <v>Curta</v>
      </c>
      <c r="M513" t="str">
        <f>VLOOKUP(E513,dimensao_bairro!A:B,2,FALSE)</f>
        <v>Matriz</v>
      </c>
      <c r="O513" t="str">
        <f>INDEX(dimensao_bairro!B:B,MATCH(tabela_origem!E513,dimensao_bairro!A:A,0))</f>
        <v>Matriz</v>
      </c>
      <c r="P513" t="str">
        <f t="shared" si="23"/>
        <v>MÉDIO</v>
      </c>
    </row>
    <row r="514" spans="1:16" x14ac:dyDescent="0.25">
      <c r="A514" s="1">
        <v>46105</v>
      </c>
      <c r="B514" t="s">
        <v>7</v>
      </c>
      <c r="C514" s="2">
        <v>0.65833333333333333</v>
      </c>
      <c r="D514" s="2" t="str">
        <f t="shared" si="21"/>
        <v>15h</v>
      </c>
      <c r="E514" t="s">
        <v>22</v>
      </c>
      <c r="F514" t="str">
        <f>VLOOKUP(E514,dimensao_bairro!A:B,2,FALSE)</f>
        <v>Matriz</v>
      </c>
      <c r="G514" t="s">
        <v>8</v>
      </c>
      <c r="H514" s="5">
        <v>7</v>
      </c>
      <c r="I514" s="5">
        <v>2.9</v>
      </c>
      <c r="J514" t="str">
        <f t="shared" si="22"/>
        <v>Média</v>
      </c>
      <c r="M514" t="str">
        <f>VLOOKUP(E514,dimensao_bairro!A:B,2,FALSE)</f>
        <v>Matriz</v>
      </c>
      <c r="O514" t="str">
        <f>INDEX(dimensao_bairro!B:B,MATCH(tabela_origem!E514,dimensao_bairro!A:A,0))</f>
        <v>Matriz</v>
      </c>
      <c r="P514" t="str">
        <f t="shared" si="23"/>
        <v>MÉDIO</v>
      </c>
    </row>
    <row r="515" spans="1:16" x14ac:dyDescent="0.25">
      <c r="A515" s="1">
        <v>46105</v>
      </c>
      <c r="B515" t="s">
        <v>7</v>
      </c>
      <c r="C515" s="2">
        <v>0.72569444444444453</v>
      </c>
      <c r="D515" s="2" t="str">
        <f t="shared" ref="D515:D578" si="24">TEXT(C515,"hh")&amp;"h"</f>
        <v>17h</v>
      </c>
      <c r="E515" t="s">
        <v>12</v>
      </c>
      <c r="F515" t="str">
        <f>VLOOKUP(E515,dimensao_bairro!A:B,2,FALSE)</f>
        <v>Portão</v>
      </c>
      <c r="G515" t="s">
        <v>27</v>
      </c>
      <c r="H515" s="5">
        <v>6.6</v>
      </c>
      <c r="I515" s="5">
        <v>1.8</v>
      </c>
      <c r="J515" t="str">
        <f t="shared" ref="J515:J578" si="25">IF(I515&lt;=2,"Curta",IF(I515&lt;=4,"Média","Longa"))</f>
        <v>Curta</v>
      </c>
      <c r="M515" t="str">
        <f>VLOOKUP(E515,dimensao_bairro!A:B,2,FALSE)</f>
        <v>Portão</v>
      </c>
      <c r="O515" t="str">
        <f>INDEX(dimensao_bairro!B:B,MATCH(tabela_origem!E515,dimensao_bairro!A:A,0))</f>
        <v>Portão</v>
      </c>
      <c r="P515" t="str">
        <f t="shared" ref="P515:P578" si="26">IF(H515&lt;7,"BAIXO",IF(H515&lt;=10,"MÉDIO","ALTO"))</f>
        <v>BAIXO</v>
      </c>
    </row>
    <row r="516" spans="1:16" x14ac:dyDescent="0.25">
      <c r="A516" s="1">
        <v>46105</v>
      </c>
      <c r="B516" t="s">
        <v>7</v>
      </c>
      <c r="C516" s="2">
        <v>0.74305555555555547</v>
      </c>
      <c r="D516" s="2" t="str">
        <f t="shared" si="24"/>
        <v>17h</v>
      </c>
      <c r="E516" t="s">
        <v>26</v>
      </c>
      <c r="F516" t="str">
        <f>VLOOKUP(E516,dimensao_bairro!A:B,2,FALSE)</f>
        <v>Portão</v>
      </c>
      <c r="G516" t="s">
        <v>26</v>
      </c>
      <c r="H516" s="5">
        <v>6.6</v>
      </c>
      <c r="I516" s="5">
        <v>1.8</v>
      </c>
      <c r="J516" t="str">
        <f t="shared" si="25"/>
        <v>Curta</v>
      </c>
      <c r="M516" t="str">
        <f>VLOOKUP(E516,dimensao_bairro!A:B,2,FALSE)</f>
        <v>Portão</v>
      </c>
      <c r="O516" t="str">
        <f>INDEX(dimensao_bairro!B:B,MATCH(tabela_origem!E516,dimensao_bairro!A:A,0))</f>
        <v>Portão</v>
      </c>
      <c r="P516" t="str">
        <f t="shared" si="26"/>
        <v>BAIXO</v>
      </c>
    </row>
    <row r="517" spans="1:16" x14ac:dyDescent="0.25">
      <c r="A517" s="1">
        <v>46105</v>
      </c>
      <c r="B517" t="s">
        <v>7</v>
      </c>
      <c r="C517" s="2">
        <v>0.76944444444444438</v>
      </c>
      <c r="D517" s="2" t="str">
        <f t="shared" si="24"/>
        <v>18h</v>
      </c>
      <c r="E517" t="s">
        <v>26</v>
      </c>
      <c r="F517" t="str">
        <f>VLOOKUP(E517,dimensao_bairro!A:B,2,FALSE)</f>
        <v>Portão</v>
      </c>
      <c r="G517" t="s">
        <v>20</v>
      </c>
      <c r="H517" s="5">
        <v>6.6</v>
      </c>
      <c r="I517" s="5">
        <v>0.9</v>
      </c>
      <c r="J517" t="str">
        <f t="shared" si="25"/>
        <v>Curta</v>
      </c>
      <c r="M517" t="str">
        <f>VLOOKUP(E517,dimensao_bairro!A:B,2,FALSE)</f>
        <v>Portão</v>
      </c>
      <c r="O517" t="str">
        <f>INDEX(dimensao_bairro!B:B,MATCH(tabela_origem!E517,dimensao_bairro!A:A,0))</f>
        <v>Portão</v>
      </c>
      <c r="P517" t="str">
        <f t="shared" si="26"/>
        <v>BAIXO</v>
      </c>
    </row>
    <row r="518" spans="1:16" x14ac:dyDescent="0.25">
      <c r="A518" s="1">
        <v>46105</v>
      </c>
      <c r="B518" t="s">
        <v>7</v>
      </c>
      <c r="C518" s="2">
        <v>0.70000000000000007</v>
      </c>
      <c r="D518" s="2" t="str">
        <f t="shared" si="24"/>
        <v>16h</v>
      </c>
      <c r="E518" t="s">
        <v>9</v>
      </c>
      <c r="F518" t="str">
        <f>VLOOKUP(E518,dimensao_bairro!A:B,2,FALSE)</f>
        <v>Portão</v>
      </c>
      <c r="G518" t="s">
        <v>18</v>
      </c>
      <c r="H518" s="5">
        <v>6.5</v>
      </c>
      <c r="I518" s="5">
        <v>1.8</v>
      </c>
      <c r="J518" t="str">
        <f t="shared" si="25"/>
        <v>Curta</v>
      </c>
      <c r="M518" t="str">
        <f>VLOOKUP(E518,dimensao_bairro!A:B,2,FALSE)</f>
        <v>Portão</v>
      </c>
      <c r="O518" t="str">
        <f>INDEX(dimensao_bairro!B:B,MATCH(tabela_origem!E518,dimensao_bairro!A:A,0))</f>
        <v>Portão</v>
      </c>
      <c r="P518" t="str">
        <f t="shared" si="26"/>
        <v>BAIXO</v>
      </c>
    </row>
    <row r="519" spans="1:16" x14ac:dyDescent="0.25">
      <c r="A519" s="1">
        <v>46105</v>
      </c>
      <c r="B519" t="s">
        <v>7</v>
      </c>
      <c r="C519" s="2">
        <v>0.65416666666666667</v>
      </c>
      <c r="D519" s="2" t="str">
        <f t="shared" si="24"/>
        <v>15h</v>
      </c>
      <c r="E519" t="s">
        <v>38</v>
      </c>
      <c r="F519" t="str">
        <f>VLOOKUP(E519,dimensao_bairro!A:B,2,FALSE)</f>
        <v>Matriz</v>
      </c>
      <c r="G519" t="s">
        <v>38</v>
      </c>
      <c r="H519" s="5">
        <v>6.5</v>
      </c>
      <c r="I519" s="5">
        <v>1.4</v>
      </c>
      <c r="J519" t="str">
        <f t="shared" si="25"/>
        <v>Curta</v>
      </c>
      <c r="M519" t="str">
        <f>VLOOKUP(E519,dimensao_bairro!A:B,2,FALSE)</f>
        <v>Matriz</v>
      </c>
      <c r="O519" t="str">
        <f>INDEX(dimensao_bairro!B:B,MATCH(tabela_origem!E519,dimensao_bairro!A:A,0))</f>
        <v>Matriz</v>
      </c>
      <c r="P519" t="str">
        <f t="shared" si="26"/>
        <v>BAIXO</v>
      </c>
    </row>
    <row r="520" spans="1:16" x14ac:dyDescent="0.25">
      <c r="A520" s="1">
        <v>46105</v>
      </c>
      <c r="B520" t="s">
        <v>7</v>
      </c>
      <c r="C520" s="2">
        <v>0.64444444444444449</v>
      </c>
      <c r="D520" s="2" t="str">
        <f t="shared" si="24"/>
        <v>15h</v>
      </c>
      <c r="E520" t="s">
        <v>22</v>
      </c>
      <c r="F520" t="str">
        <f>VLOOKUP(E520,dimensao_bairro!A:B,2,FALSE)</f>
        <v>Matriz</v>
      </c>
      <c r="G520" t="s">
        <v>13</v>
      </c>
      <c r="H520" s="5">
        <v>6.5</v>
      </c>
      <c r="I520" s="5">
        <v>0.9</v>
      </c>
      <c r="J520" t="str">
        <f t="shared" si="25"/>
        <v>Curta</v>
      </c>
      <c r="M520" t="str">
        <f>VLOOKUP(E520,dimensao_bairro!A:B,2,FALSE)</f>
        <v>Matriz</v>
      </c>
      <c r="O520" t="str">
        <f>INDEX(dimensao_bairro!B:B,MATCH(tabela_origem!E520,dimensao_bairro!A:A,0))</f>
        <v>Matriz</v>
      </c>
      <c r="P520" t="str">
        <f t="shared" si="26"/>
        <v>BAIXO</v>
      </c>
    </row>
    <row r="521" spans="1:16" x14ac:dyDescent="0.25">
      <c r="A521" s="1">
        <v>46105</v>
      </c>
      <c r="B521" t="s">
        <v>7</v>
      </c>
      <c r="C521" s="2">
        <v>0.63402777777777775</v>
      </c>
      <c r="D521" s="2" t="str">
        <f t="shared" si="24"/>
        <v>15h</v>
      </c>
      <c r="E521" t="s">
        <v>13</v>
      </c>
      <c r="F521" t="str">
        <f>VLOOKUP(E521,dimensao_bairro!A:B,2,FALSE)</f>
        <v>Matriz</v>
      </c>
      <c r="G521" t="s">
        <v>26</v>
      </c>
      <c r="H521" s="5">
        <v>6.5</v>
      </c>
      <c r="I521" s="5">
        <v>1.3</v>
      </c>
      <c r="J521" t="str">
        <f t="shared" si="25"/>
        <v>Curta</v>
      </c>
      <c r="M521" t="str">
        <f>VLOOKUP(E521,dimensao_bairro!A:B,2,FALSE)</f>
        <v>Matriz</v>
      </c>
      <c r="O521" t="str">
        <f>INDEX(dimensao_bairro!B:B,MATCH(tabela_origem!E521,dimensao_bairro!A:A,0))</f>
        <v>Matriz</v>
      </c>
      <c r="P521" t="str">
        <f t="shared" si="26"/>
        <v>BAIXO</v>
      </c>
    </row>
    <row r="522" spans="1:16" x14ac:dyDescent="0.25">
      <c r="A522" s="1">
        <v>46105</v>
      </c>
      <c r="B522" t="s">
        <v>7</v>
      </c>
      <c r="C522" s="2">
        <v>0.79236111111111107</v>
      </c>
      <c r="D522" s="2" t="str">
        <f t="shared" si="24"/>
        <v>19h</v>
      </c>
      <c r="E522" t="s">
        <v>26</v>
      </c>
      <c r="F522" t="str">
        <f>VLOOKUP(E522,dimensao_bairro!A:B,2,FALSE)</f>
        <v>Portão</v>
      </c>
      <c r="G522" t="s">
        <v>23</v>
      </c>
      <c r="H522" s="5">
        <v>6.5</v>
      </c>
      <c r="I522" s="5">
        <v>1.1000000000000001</v>
      </c>
      <c r="J522" t="str">
        <f t="shared" si="25"/>
        <v>Curta</v>
      </c>
      <c r="M522" t="str">
        <f>VLOOKUP(E522,dimensao_bairro!A:B,2,FALSE)</f>
        <v>Portão</v>
      </c>
      <c r="O522" t="str">
        <f>INDEX(dimensao_bairro!B:B,MATCH(tabela_origem!E522,dimensao_bairro!A:A,0))</f>
        <v>Portão</v>
      </c>
      <c r="P522" t="str">
        <f t="shared" si="26"/>
        <v>BAIXO</v>
      </c>
    </row>
    <row r="523" spans="1:16" x14ac:dyDescent="0.25">
      <c r="A523" s="1">
        <v>46106</v>
      </c>
      <c r="B523" t="s">
        <v>7</v>
      </c>
      <c r="C523" s="2">
        <v>0.70833333333333337</v>
      </c>
      <c r="D523" s="2" t="str">
        <f t="shared" si="24"/>
        <v>17h</v>
      </c>
      <c r="E523" t="s">
        <v>15</v>
      </c>
      <c r="F523" t="str">
        <f>VLOOKUP(E523,dimensao_bairro!A:B,2,FALSE)</f>
        <v>Boqueirão</v>
      </c>
      <c r="G523" t="s">
        <v>23</v>
      </c>
      <c r="H523" s="5">
        <v>10.5</v>
      </c>
      <c r="I523" s="5">
        <v>5.4</v>
      </c>
      <c r="J523" t="str">
        <f t="shared" si="25"/>
        <v>Longa</v>
      </c>
      <c r="M523" t="str">
        <f>VLOOKUP(E523,dimensao_bairro!A:B,2,FALSE)</f>
        <v>Boqueirão</v>
      </c>
      <c r="O523" t="str">
        <f>INDEX(dimensao_bairro!B:B,MATCH(tabela_origem!E523,dimensao_bairro!A:A,0))</f>
        <v>Boqueirão</v>
      </c>
      <c r="P523" t="str">
        <f t="shared" si="26"/>
        <v>ALTO</v>
      </c>
    </row>
    <row r="524" spans="1:16" x14ac:dyDescent="0.25">
      <c r="A524" s="1">
        <v>46106</v>
      </c>
      <c r="B524" t="s">
        <v>7</v>
      </c>
      <c r="C524" s="2">
        <v>0.75486111111111109</v>
      </c>
      <c r="D524" s="2" t="str">
        <f t="shared" si="24"/>
        <v>18h</v>
      </c>
      <c r="E524" t="s">
        <v>23</v>
      </c>
      <c r="F524" t="str">
        <f>VLOOKUP(E524,dimensao_bairro!A:B,2,FALSE)</f>
        <v>Boqueirão</v>
      </c>
      <c r="G524" t="s">
        <v>23</v>
      </c>
      <c r="H524" s="5">
        <v>8.9</v>
      </c>
      <c r="I524" s="5">
        <v>3</v>
      </c>
      <c r="J524" t="str">
        <f t="shared" si="25"/>
        <v>Média</v>
      </c>
      <c r="M524" t="str">
        <f>VLOOKUP(E524,dimensao_bairro!A:B,2,FALSE)</f>
        <v>Boqueirão</v>
      </c>
      <c r="O524" t="str">
        <f>INDEX(dimensao_bairro!B:B,MATCH(tabela_origem!E524,dimensao_bairro!A:A,0))</f>
        <v>Boqueirão</v>
      </c>
      <c r="P524" t="str">
        <f t="shared" si="26"/>
        <v>MÉDIO</v>
      </c>
    </row>
    <row r="525" spans="1:16" x14ac:dyDescent="0.25">
      <c r="A525" s="1">
        <v>46106</v>
      </c>
      <c r="B525" t="s">
        <v>7</v>
      </c>
      <c r="C525" s="2">
        <v>0.74722222222222223</v>
      </c>
      <c r="D525" s="2" t="str">
        <f t="shared" si="24"/>
        <v>17h</v>
      </c>
      <c r="E525" t="s">
        <v>16</v>
      </c>
      <c r="F525" t="str">
        <f>VLOOKUP(E525,dimensao_bairro!A:B,2,FALSE)</f>
        <v>Bairro Novo</v>
      </c>
      <c r="G525" t="s">
        <v>16</v>
      </c>
      <c r="H525" s="5">
        <v>8.8000000000000007</v>
      </c>
      <c r="I525" s="5">
        <v>3.7</v>
      </c>
      <c r="J525" t="str">
        <f t="shared" si="25"/>
        <v>Média</v>
      </c>
      <c r="M525" t="str">
        <f>VLOOKUP(E525,dimensao_bairro!A:B,2,FALSE)</f>
        <v>Bairro Novo</v>
      </c>
      <c r="O525" t="str">
        <f>INDEX(dimensao_bairro!B:B,MATCH(tabela_origem!E525,dimensao_bairro!A:A,0))</f>
        <v>Bairro Novo</v>
      </c>
      <c r="P525" t="str">
        <f t="shared" si="26"/>
        <v>MÉDIO</v>
      </c>
    </row>
    <row r="526" spans="1:16" x14ac:dyDescent="0.25">
      <c r="A526" s="1">
        <v>46106</v>
      </c>
      <c r="B526" t="s">
        <v>7</v>
      </c>
      <c r="C526" s="2">
        <v>0.73888888888888893</v>
      </c>
      <c r="D526" s="2" t="str">
        <f t="shared" si="24"/>
        <v>17h</v>
      </c>
      <c r="E526" t="s">
        <v>17</v>
      </c>
      <c r="F526" t="str">
        <f>VLOOKUP(E526,dimensao_bairro!A:B,2,FALSE)</f>
        <v>Boqueirão</v>
      </c>
      <c r="G526" t="s">
        <v>16</v>
      </c>
      <c r="H526" s="5">
        <v>7.6</v>
      </c>
      <c r="I526" s="5">
        <v>3.3</v>
      </c>
      <c r="J526" t="str">
        <f t="shared" si="25"/>
        <v>Média</v>
      </c>
      <c r="M526" t="str">
        <f>VLOOKUP(E526,dimensao_bairro!A:B,2,FALSE)</f>
        <v>Boqueirão</v>
      </c>
      <c r="O526" t="str">
        <f>INDEX(dimensao_bairro!B:B,MATCH(tabela_origem!E526,dimensao_bairro!A:A,0))</f>
        <v>Boqueirão</v>
      </c>
      <c r="P526" t="str">
        <f t="shared" si="26"/>
        <v>MÉDIO</v>
      </c>
    </row>
    <row r="527" spans="1:16" x14ac:dyDescent="0.25">
      <c r="A527" s="1">
        <v>46106</v>
      </c>
      <c r="B527" t="s">
        <v>7</v>
      </c>
      <c r="C527" s="2">
        <v>0.71666666666666667</v>
      </c>
      <c r="D527" s="2" t="str">
        <f t="shared" si="24"/>
        <v>17h</v>
      </c>
      <c r="E527" t="s">
        <v>17</v>
      </c>
      <c r="F527" t="str">
        <f>VLOOKUP(E527,dimensao_bairro!A:B,2,FALSE)</f>
        <v>Boqueirão</v>
      </c>
      <c r="G527" t="s">
        <v>15</v>
      </c>
      <c r="H527" s="5">
        <v>7.3</v>
      </c>
      <c r="I527" s="5">
        <v>2.8</v>
      </c>
      <c r="J527" t="str">
        <f t="shared" si="25"/>
        <v>Média</v>
      </c>
      <c r="M527" t="str">
        <f>VLOOKUP(E527,dimensao_bairro!A:B,2,FALSE)</f>
        <v>Boqueirão</v>
      </c>
      <c r="O527" t="str">
        <f>INDEX(dimensao_bairro!B:B,MATCH(tabela_origem!E527,dimensao_bairro!A:A,0))</f>
        <v>Boqueirão</v>
      </c>
      <c r="P527" t="str">
        <f t="shared" si="26"/>
        <v>MÉDIO</v>
      </c>
    </row>
    <row r="528" spans="1:16" x14ac:dyDescent="0.25">
      <c r="A528" s="1">
        <v>46106</v>
      </c>
      <c r="B528" t="s">
        <v>7</v>
      </c>
      <c r="C528" s="2">
        <v>0.81736111111111109</v>
      </c>
      <c r="D528" s="2" t="str">
        <f t="shared" si="24"/>
        <v>19h</v>
      </c>
      <c r="E528" t="s">
        <v>15</v>
      </c>
      <c r="F528" t="str">
        <f>VLOOKUP(E528,dimensao_bairro!A:B,2,FALSE)</f>
        <v>Boqueirão</v>
      </c>
      <c r="G528" t="s">
        <v>15</v>
      </c>
      <c r="H528" s="5">
        <v>7.15</v>
      </c>
      <c r="I528" s="5">
        <v>1.5</v>
      </c>
      <c r="J528" t="str">
        <f t="shared" si="25"/>
        <v>Curta</v>
      </c>
      <c r="M528" t="str">
        <f>VLOOKUP(E528,dimensao_bairro!A:B,2,FALSE)</f>
        <v>Boqueirão</v>
      </c>
      <c r="O528" t="str">
        <f>INDEX(dimensao_bairro!B:B,MATCH(tabela_origem!E528,dimensao_bairro!A:A,0))</f>
        <v>Boqueirão</v>
      </c>
      <c r="P528" t="str">
        <f t="shared" si="26"/>
        <v>MÉDIO</v>
      </c>
    </row>
    <row r="529" spans="1:16" x14ac:dyDescent="0.25">
      <c r="A529" s="1">
        <v>46106</v>
      </c>
      <c r="B529" t="s">
        <v>7</v>
      </c>
      <c r="C529" s="2">
        <v>0.79166666666666663</v>
      </c>
      <c r="D529" s="2" t="str">
        <f t="shared" si="24"/>
        <v>19h</v>
      </c>
      <c r="E529" t="s">
        <v>15</v>
      </c>
      <c r="F529" t="str">
        <f>VLOOKUP(E529,dimensao_bairro!A:B,2,FALSE)</f>
        <v>Boqueirão</v>
      </c>
      <c r="G529" t="s">
        <v>26</v>
      </c>
      <c r="H529" s="5">
        <v>6.9</v>
      </c>
      <c r="I529" s="5">
        <v>1.3</v>
      </c>
      <c r="J529" t="str">
        <f t="shared" si="25"/>
        <v>Curta</v>
      </c>
      <c r="M529" t="str">
        <f>VLOOKUP(E529,dimensao_bairro!A:B,2,FALSE)</f>
        <v>Boqueirão</v>
      </c>
      <c r="O529" t="str">
        <f>INDEX(dimensao_bairro!B:B,MATCH(tabela_origem!E529,dimensao_bairro!A:A,0))</f>
        <v>Boqueirão</v>
      </c>
      <c r="P529" t="str">
        <f t="shared" si="26"/>
        <v>BAIXO</v>
      </c>
    </row>
    <row r="530" spans="1:16" x14ac:dyDescent="0.25">
      <c r="A530" s="1">
        <v>46106</v>
      </c>
      <c r="B530" t="s">
        <v>7</v>
      </c>
      <c r="C530" s="2">
        <v>0.65069444444444446</v>
      </c>
      <c r="D530" s="2" t="str">
        <f t="shared" si="24"/>
        <v>15h</v>
      </c>
      <c r="E530" t="s">
        <v>12</v>
      </c>
      <c r="F530" t="str">
        <f>VLOOKUP(E530,dimensao_bairro!A:B,2,FALSE)</f>
        <v>Portão</v>
      </c>
      <c r="G530" t="s">
        <v>15</v>
      </c>
      <c r="H530" s="5">
        <v>6.9</v>
      </c>
      <c r="I530" s="5">
        <v>2.2999999999999998</v>
      </c>
      <c r="J530" t="str">
        <f t="shared" si="25"/>
        <v>Média</v>
      </c>
      <c r="M530" t="str">
        <f>VLOOKUP(E530,dimensao_bairro!A:B,2,FALSE)</f>
        <v>Portão</v>
      </c>
      <c r="O530" t="str">
        <f>INDEX(dimensao_bairro!B:B,MATCH(tabela_origem!E530,dimensao_bairro!A:A,0))</f>
        <v>Portão</v>
      </c>
      <c r="P530" t="str">
        <f t="shared" si="26"/>
        <v>BAIXO</v>
      </c>
    </row>
    <row r="531" spans="1:16" x14ac:dyDescent="0.25">
      <c r="A531" s="1">
        <v>46106</v>
      </c>
      <c r="B531" t="s">
        <v>7</v>
      </c>
      <c r="C531" s="2">
        <v>0.78611111111111109</v>
      </c>
      <c r="D531" s="2" t="str">
        <f t="shared" si="24"/>
        <v>18h</v>
      </c>
      <c r="E531" t="s">
        <v>15</v>
      </c>
      <c r="F531" t="str">
        <f>VLOOKUP(E531,dimensao_bairro!A:B,2,FALSE)</f>
        <v>Boqueirão</v>
      </c>
      <c r="G531" t="s">
        <v>23</v>
      </c>
      <c r="H531" s="5">
        <v>6.6</v>
      </c>
      <c r="I531" s="5">
        <v>1.1000000000000001</v>
      </c>
      <c r="J531" t="str">
        <f t="shared" si="25"/>
        <v>Curta</v>
      </c>
      <c r="M531" t="str">
        <f>VLOOKUP(E531,dimensao_bairro!A:B,2,FALSE)</f>
        <v>Boqueirão</v>
      </c>
      <c r="O531" t="str">
        <f>INDEX(dimensao_bairro!B:B,MATCH(tabela_origem!E531,dimensao_bairro!A:A,0))</f>
        <v>Boqueirão</v>
      </c>
      <c r="P531" t="str">
        <f t="shared" si="26"/>
        <v>BAIXO</v>
      </c>
    </row>
    <row r="532" spans="1:16" x14ac:dyDescent="0.25">
      <c r="A532" s="1">
        <v>46106</v>
      </c>
      <c r="B532" t="s">
        <v>7</v>
      </c>
      <c r="C532" s="2">
        <v>0.77986111111111101</v>
      </c>
      <c r="D532" s="2" t="str">
        <f t="shared" si="24"/>
        <v>18h</v>
      </c>
      <c r="E532" t="s">
        <v>23</v>
      </c>
      <c r="F532" t="str">
        <f>VLOOKUP(E532,dimensao_bairro!A:B,2,FALSE)</f>
        <v>Boqueirão</v>
      </c>
      <c r="G532" t="s">
        <v>23</v>
      </c>
      <c r="H532" s="5">
        <v>6.6</v>
      </c>
      <c r="I532" s="5">
        <v>1</v>
      </c>
      <c r="J532" t="str">
        <f t="shared" si="25"/>
        <v>Curta</v>
      </c>
      <c r="M532" t="str">
        <f>VLOOKUP(E532,dimensao_bairro!A:B,2,FALSE)</f>
        <v>Boqueirão</v>
      </c>
      <c r="O532" t="str">
        <f>INDEX(dimensao_bairro!B:B,MATCH(tabela_origem!E532,dimensao_bairro!A:A,0))</f>
        <v>Boqueirão</v>
      </c>
      <c r="P532" t="str">
        <f t="shared" si="26"/>
        <v>BAIXO</v>
      </c>
    </row>
    <row r="533" spans="1:16" x14ac:dyDescent="0.25">
      <c r="A533" s="1">
        <v>46106</v>
      </c>
      <c r="B533" t="s">
        <v>7</v>
      </c>
      <c r="C533" s="2">
        <v>0.82847222222222217</v>
      </c>
      <c r="D533" s="2" t="str">
        <f t="shared" si="24"/>
        <v>19h</v>
      </c>
      <c r="E533" t="s">
        <v>23</v>
      </c>
      <c r="F533" t="str">
        <f>VLOOKUP(E533,dimensao_bairro!A:B,2,FALSE)</f>
        <v>Boqueirão</v>
      </c>
      <c r="G533" t="s">
        <v>17</v>
      </c>
      <c r="H533" s="5">
        <v>6.6</v>
      </c>
      <c r="I533" s="5">
        <v>1.6</v>
      </c>
      <c r="J533" t="str">
        <f t="shared" si="25"/>
        <v>Curta</v>
      </c>
      <c r="M533" t="str">
        <f>VLOOKUP(E533,dimensao_bairro!A:B,2,FALSE)</f>
        <v>Boqueirão</v>
      </c>
      <c r="O533" t="str">
        <f>INDEX(dimensao_bairro!B:B,MATCH(tabela_origem!E533,dimensao_bairro!A:A,0))</f>
        <v>Boqueirão</v>
      </c>
      <c r="P533" t="str">
        <f t="shared" si="26"/>
        <v>BAIXO</v>
      </c>
    </row>
    <row r="534" spans="1:16" x14ac:dyDescent="0.25">
      <c r="A534" s="1">
        <v>46106</v>
      </c>
      <c r="B534" t="s">
        <v>7</v>
      </c>
      <c r="C534" s="2">
        <v>0.73125000000000007</v>
      </c>
      <c r="D534" s="2" t="str">
        <f t="shared" si="24"/>
        <v>17h</v>
      </c>
      <c r="E534" t="s">
        <v>17</v>
      </c>
      <c r="F534" t="str">
        <f>VLOOKUP(E534,dimensao_bairro!A:B,2,FALSE)</f>
        <v>Boqueirão</v>
      </c>
      <c r="G534" t="s">
        <v>15</v>
      </c>
      <c r="H534" s="5">
        <v>6.5</v>
      </c>
      <c r="I534" s="5">
        <v>2.2000000000000002</v>
      </c>
      <c r="J534" t="str">
        <f t="shared" si="25"/>
        <v>Média</v>
      </c>
      <c r="M534" t="str">
        <f>VLOOKUP(E534,dimensao_bairro!A:B,2,FALSE)</f>
        <v>Boqueirão</v>
      </c>
      <c r="O534" t="str">
        <f>INDEX(dimensao_bairro!B:B,MATCH(tabela_origem!E534,dimensao_bairro!A:A,0))</f>
        <v>Boqueirão</v>
      </c>
      <c r="P534" t="str">
        <f t="shared" si="26"/>
        <v>BAIXO</v>
      </c>
    </row>
    <row r="535" spans="1:16" x14ac:dyDescent="0.25">
      <c r="A535" s="1">
        <v>46106</v>
      </c>
      <c r="B535" t="s">
        <v>7</v>
      </c>
      <c r="C535" s="2">
        <v>0.6958333333333333</v>
      </c>
      <c r="D535" s="2" t="str">
        <f t="shared" si="24"/>
        <v>16h</v>
      </c>
      <c r="E535" t="s">
        <v>15</v>
      </c>
      <c r="F535" t="str">
        <f>VLOOKUP(E535,dimensao_bairro!A:B,2,FALSE)</f>
        <v>Boqueirão</v>
      </c>
      <c r="G535" t="s">
        <v>11</v>
      </c>
      <c r="H535" s="5">
        <v>6.5</v>
      </c>
      <c r="I535" s="5">
        <v>1.3</v>
      </c>
      <c r="J535" t="str">
        <f t="shared" si="25"/>
        <v>Curta</v>
      </c>
      <c r="M535" t="str">
        <f>VLOOKUP(E535,dimensao_bairro!A:B,2,FALSE)</f>
        <v>Boqueirão</v>
      </c>
      <c r="O535" t="str">
        <f>INDEX(dimensao_bairro!B:B,MATCH(tabela_origem!E535,dimensao_bairro!A:A,0))</f>
        <v>Boqueirão</v>
      </c>
      <c r="P535" t="str">
        <f t="shared" si="26"/>
        <v>BAIXO</v>
      </c>
    </row>
    <row r="536" spans="1:16" x14ac:dyDescent="0.25">
      <c r="A536" s="1">
        <v>46106</v>
      </c>
      <c r="B536" t="s">
        <v>7</v>
      </c>
      <c r="C536" s="2">
        <v>0.70000000000000007</v>
      </c>
      <c r="D536" s="2" t="str">
        <f t="shared" si="24"/>
        <v>16h</v>
      </c>
      <c r="E536" t="s">
        <v>15</v>
      </c>
      <c r="F536" t="str">
        <f>VLOOKUP(E536,dimensao_bairro!A:B,2,FALSE)</f>
        <v>Boqueirão</v>
      </c>
      <c r="G536" t="s">
        <v>26</v>
      </c>
      <c r="H536" s="5">
        <v>6.5</v>
      </c>
      <c r="I536" s="5">
        <v>1.2</v>
      </c>
      <c r="J536" t="str">
        <f t="shared" si="25"/>
        <v>Curta</v>
      </c>
      <c r="M536" t="str">
        <f>VLOOKUP(E536,dimensao_bairro!A:B,2,FALSE)</f>
        <v>Boqueirão</v>
      </c>
      <c r="O536" t="str">
        <f>INDEX(dimensao_bairro!B:B,MATCH(tabela_origem!E536,dimensao_bairro!A:A,0))</f>
        <v>Boqueirão</v>
      </c>
      <c r="P536" t="str">
        <f t="shared" si="26"/>
        <v>BAIXO</v>
      </c>
    </row>
    <row r="537" spans="1:16" x14ac:dyDescent="0.25">
      <c r="A537" s="1">
        <v>46106</v>
      </c>
      <c r="B537" t="s">
        <v>7</v>
      </c>
      <c r="C537" s="2">
        <v>0.67013888888888884</v>
      </c>
      <c r="D537" s="2" t="str">
        <f t="shared" si="24"/>
        <v>16h</v>
      </c>
      <c r="E537" t="s">
        <v>12</v>
      </c>
      <c r="F537" t="str">
        <f>VLOOKUP(E537,dimensao_bairro!A:B,2,FALSE)</f>
        <v>Portão</v>
      </c>
      <c r="G537" t="s">
        <v>15</v>
      </c>
      <c r="H537" s="5">
        <v>6.5</v>
      </c>
      <c r="I537" s="5">
        <v>1.3</v>
      </c>
      <c r="J537" t="str">
        <f t="shared" si="25"/>
        <v>Curta</v>
      </c>
      <c r="M537" t="str">
        <f>VLOOKUP(E537,dimensao_bairro!A:B,2,FALSE)</f>
        <v>Portão</v>
      </c>
      <c r="O537" t="str">
        <f>INDEX(dimensao_bairro!B:B,MATCH(tabela_origem!E537,dimensao_bairro!A:A,0))</f>
        <v>Portão</v>
      </c>
      <c r="P537" t="str">
        <f t="shared" si="26"/>
        <v>BAIXO</v>
      </c>
    </row>
    <row r="538" spans="1:16" x14ac:dyDescent="0.25">
      <c r="A538" s="1">
        <v>46106</v>
      </c>
      <c r="B538" t="s">
        <v>7</v>
      </c>
      <c r="C538" s="2">
        <v>0.69236111111111109</v>
      </c>
      <c r="D538" s="2" t="str">
        <f t="shared" si="24"/>
        <v>16h</v>
      </c>
      <c r="E538" t="s">
        <v>11</v>
      </c>
      <c r="F538" t="str">
        <f>VLOOKUP(E538,dimensao_bairro!A:B,2,FALSE)</f>
        <v>Boqueirão</v>
      </c>
      <c r="G538" t="s">
        <v>12</v>
      </c>
      <c r="H538" s="5">
        <v>6.5</v>
      </c>
      <c r="I538" s="5">
        <v>1.1000000000000001</v>
      </c>
      <c r="J538" t="str">
        <f t="shared" si="25"/>
        <v>Curta</v>
      </c>
      <c r="M538" t="str">
        <f>VLOOKUP(E538,dimensao_bairro!A:B,2,FALSE)</f>
        <v>Boqueirão</v>
      </c>
      <c r="O538" t="str">
        <f>INDEX(dimensao_bairro!B:B,MATCH(tabela_origem!E538,dimensao_bairro!A:A,0))</f>
        <v>Boqueirão</v>
      </c>
      <c r="P538" t="str">
        <f t="shared" si="26"/>
        <v>BAIXO</v>
      </c>
    </row>
    <row r="539" spans="1:16" x14ac:dyDescent="0.25">
      <c r="A539" s="1">
        <v>46106</v>
      </c>
      <c r="B539" t="s">
        <v>7</v>
      </c>
      <c r="C539" s="2">
        <v>0.67291666666666661</v>
      </c>
      <c r="D539" s="2" t="str">
        <f t="shared" si="24"/>
        <v>16h</v>
      </c>
      <c r="E539" t="s">
        <v>8</v>
      </c>
      <c r="F539" t="str">
        <f>VLOOKUP(E539,dimensao_bairro!A:B,2,FALSE)</f>
        <v>Portão</v>
      </c>
      <c r="G539" t="s">
        <v>8</v>
      </c>
      <c r="H539" s="5">
        <v>6.5</v>
      </c>
      <c r="I539" s="5">
        <v>1.7</v>
      </c>
      <c r="J539" t="str">
        <f t="shared" si="25"/>
        <v>Curta</v>
      </c>
      <c r="M539" t="str">
        <f>VLOOKUP(E539,dimensao_bairro!A:B,2,FALSE)</f>
        <v>Portão</v>
      </c>
      <c r="O539" t="str">
        <f>INDEX(dimensao_bairro!B:B,MATCH(tabela_origem!E539,dimensao_bairro!A:A,0))</f>
        <v>Portão</v>
      </c>
      <c r="P539" t="str">
        <f t="shared" si="26"/>
        <v>BAIXO</v>
      </c>
    </row>
    <row r="540" spans="1:16" x14ac:dyDescent="0.25">
      <c r="A540" s="1">
        <v>46106</v>
      </c>
      <c r="B540" t="s">
        <v>7</v>
      </c>
      <c r="C540" s="2">
        <v>0.66249999999999998</v>
      </c>
      <c r="D540" s="2" t="str">
        <f t="shared" si="24"/>
        <v>15h</v>
      </c>
      <c r="E540" t="s">
        <v>26</v>
      </c>
      <c r="F540" t="str">
        <f>VLOOKUP(E540,dimensao_bairro!A:B,2,FALSE)</f>
        <v>Portão</v>
      </c>
      <c r="G540" t="s">
        <v>23</v>
      </c>
      <c r="H540" s="5">
        <v>6.5</v>
      </c>
      <c r="I540" s="5">
        <v>2.1</v>
      </c>
      <c r="J540" t="str">
        <f t="shared" si="25"/>
        <v>Média</v>
      </c>
      <c r="M540" t="str">
        <f>VLOOKUP(E540,dimensao_bairro!A:B,2,FALSE)</f>
        <v>Portão</v>
      </c>
      <c r="O540" t="str">
        <f>INDEX(dimensao_bairro!B:B,MATCH(tabela_origem!E540,dimensao_bairro!A:A,0))</f>
        <v>Portão</v>
      </c>
      <c r="P540" t="str">
        <f t="shared" si="26"/>
        <v>BAIXO</v>
      </c>
    </row>
    <row r="541" spans="1:16" x14ac:dyDescent="0.25">
      <c r="A541" s="1">
        <v>46106</v>
      </c>
      <c r="B541" t="s">
        <v>7</v>
      </c>
      <c r="C541" s="2">
        <v>0.77777777777777779</v>
      </c>
      <c r="D541" s="2" t="str">
        <f t="shared" si="24"/>
        <v>18h</v>
      </c>
      <c r="E541" t="s">
        <v>23</v>
      </c>
      <c r="F541" t="str">
        <f>VLOOKUP(E541,dimensao_bairro!A:B,2,FALSE)</f>
        <v>Boqueirão</v>
      </c>
      <c r="G541" t="s">
        <v>8</v>
      </c>
      <c r="H541" s="5">
        <v>6.5</v>
      </c>
      <c r="I541" s="5">
        <v>1.5</v>
      </c>
      <c r="J541" t="str">
        <f t="shared" si="25"/>
        <v>Curta</v>
      </c>
      <c r="M541" t="str">
        <f>VLOOKUP(E541,dimensao_bairro!A:B,2,FALSE)</f>
        <v>Boqueirão</v>
      </c>
      <c r="O541" t="str">
        <f>INDEX(dimensao_bairro!B:B,MATCH(tabela_origem!E541,dimensao_bairro!A:A,0))</f>
        <v>Boqueirão</v>
      </c>
      <c r="P541" t="str">
        <f t="shared" si="26"/>
        <v>BAIXO</v>
      </c>
    </row>
    <row r="542" spans="1:16" x14ac:dyDescent="0.25">
      <c r="A542" s="1">
        <v>46107</v>
      </c>
      <c r="B542" t="s">
        <v>7</v>
      </c>
      <c r="C542" s="2">
        <v>0.81388888888888899</v>
      </c>
      <c r="D542" s="2" t="str">
        <f t="shared" si="24"/>
        <v>19h</v>
      </c>
      <c r="E542" t="s">
        <v>14</v>
      </c>
      <c r="F542" t="str">
        <f>VLOOKUP(E542,dimensao_bairro!A:B,2,FALSE)</f>
        <v>Cajuru</v>
      </c>
      <c r="G542" t="s">
        <v>5</v>
      </c>
      <c r="H542" s="5">
        <v>13.4</v>
      </c>
      <c r="I542" s="5">
        <v>6.4</v>
      </c>
      <c r="J542" t="str">
        <f t="shared" si="25"/>
        <v>Longa</v>
      </c>
      <c r="M542" t="str">
        <f>VLOOKUP(E542,dimensao_bairro!A:B,2,FALSE)</f>
        <v>Cajuru</v>
      </c>
      <c r="O542" t="str">
        <f>INDEX(dimensao_bairro!B:B,MATCH(tabela_origem!E542,dimensao_bairro!A:A,0))</f>
        <v>Cajuru</v>
      </c>
      <c r="P542" t="str">
        <f t="shared" si="26"/>
        <v>ALTO</v>
      </c>
    </row>
    <row r="543" spans="1:16" x14ac:dyDescent="0.25">
      <c r="A543" s="1">
        <v>46107</v>
      </c>
      <c r="B543" t="s">
        <v>7</v>
      </c>
      <c r="C543" s="2">
        <v>0.75208333333333333</v>
      </c>
      <c r="D543" s="2" t="str">
        <f t="shared" si="24"/>
        <v>18h</v>
      </c>
      <c r="E543" t="s">
        <v>9</v>
      </c>
      <c r="F543" t="str">
        <f>VLOOKUP(E543,dimensao_bairro!A:B,2,FALSE)</f>
        <v>Portão</v>
      </c>
      <c r="G543" t="s">
        <v>5</v>
      </c>
      <c r="H543" s="5">
        <v>11</v>
      </c>
      <c r="I543" s="5">
        <v>2.2999999999999998</v>
      </c>
      <c r="J543" t="str">
        <f t="shared" si="25"/>
        <v>Média</v>
      </c>
      <c r="M543" t="str">
        <f>VLOOKUP(E543,dimensao_bairro!A:B,2,FALSE)</f>
        <v>Portão</v>
      </c>
      <c r="O543" t="str">
        <f>INDEX(dimensao_bairro!B:B,MATCH(tabela_origem!E543,dimensao_bairro!A:A,0))</f>
        <v>Portão</v>
      </c>
      <c r="P543" t="str">
        <f t="shared" si="26"/>
        <v>ALTO</v>
      </c>
    </row>
    <row r="544" spans="1:16" x14ac:dyDescent="0.25">
      <c r="A544" s="1">
        <v>46107</v>
      </c>
      <c r="B544" t="s">
        <v>7</v>
      </c>
      <c r="C544" s="2">
        <v>0.72222222222222221</v>
      </c>
      <c r="D544" s="2" t="str">
        <f t="shared" si="24"/>
        <v>17h</v>
      </c>
      <c r="E544" t="s">
        <v>9</v>
      </c>
      <c r="F544" t="str">
        <f>VLOOKUP(E544,dimensao_bairro!A:B,2,FALSE)</f>
        <v>Portão</v>
      </c>
      <c r="G544" t="s">
        <v>9</v>
      </c>
      <c r="H544" s="5">
        <v>10.3</v>
      </c>
      <c r="I544" s="5">
        <v>3</v>
      </c>
      <c r="J544" t="str">
        <f t="shared" si="25"/>
        <v>Média</v>
      </c>
      <c r="M544" t="str">
        <f>VLOOKUP(E544,dimensao_bairro!A:B,2,FALSE)</f>
        <v>Portão</v>
      </c>
      <c r="O544" t="str">
        <f>INDEX(dimensao_bairro!B:B,MATCH(tabela_origem!E544,dimensao_bairro!A:A,0))</f>
        <v>Portão</v>
      </c>
      <c r="P544" t="str">
        <f t="shared" si="26"/>
        <v>ALTO</v>
      </c>
    </row>
    <row r="545" spans="1:16" x14ac:dyDescent="0.25">
      <c r="A545" s="1">
        <v>46107</v>
      </c>
      <c r="B545" t="s">
        <v>7</v>
      </c>
      <c r="C545" s="2">
        <v>0.7368055555555556</v>
      </c>
      <c r="D545" s="2" t="str">
        <f t="shared" si="24"/>
        <v>17h</v>
      </c>
      <c r="E545" t="s">
        <v>9</v>
      </c>
      <c r="F545" t="str">
        <f>VLOOKUP(E545,dimensao_bairro!A:B,2,FALSE)</f>
        <v>Portão</v>
      </c>
      <c r="G545" t="s">
        <v>9</v>
      </c>
      <c r="H545" s="5">
        <v>9.9</v>
      </c>
      <c r="I545" s="5">
        <v>1.2</v>
      </c>
      <c r="J545" t="str">
        <f t="shared" si="25"/>
        <v>Curta</v>
      </c>
      <c r="M545" t="str">
        <f>VLOOKUP(E545,dimensao_bairro!A:B,2,FALSE)</f>
        <v>Portão</v>
      </c>
      <c r="O545" t="str">
        <f>INDEX(dimensao_bairro!B:B,MATCH(tabela_origem!E545,dimensao_bairro!A:A,0))</f>
        <v>Portão</v>
      </c>
      <c r="P545" t="str">
        <f t="shared" si="26"/>
        <v>MÉDIO</v>
      </c>
    </row>
    <row r="546" spans="1:16" x14ac:dyDescent="0.25">
      <c r="A546" s="1">
        <v>46107</v>
      </c>
      <c r="B546" t="s">
        <v>7</v>
      </c>
      <c r="C546" s="2">
        <v>0.74583333333333324</v>
      </c>
      <c r="D546" s="2" t="str">
        <f t="shared" si="24"/>
        <v>17h</v>
      </c>
      <c r="E546" t="s">
        <v>5</v>
      </c>
      <c r="F546" t="str">
        <f>VLOOKUP(E546,dimensao_bairro!A:B,2,FALSE)</f>
        <v>Portão</v>
      </c>
      <c r="G546" t="s">
        <v>9</v>
      </c>
      <c r="H546" s="5">
        <v>9.9</v>
      </c>
      <c r="I546" s="5">
        <v>2.2999999999999998</v>
      </c>
      <c r="J546" t="str">
        <f t="shared" si="25"/>
        <v>Média</v>
      </c>
      <c r="M546" t="str">
        <f>VLOOKUP(E546,dimensao_bairro!A:B,2,FALSE)</f>
        <v>Portão</v>
      </c>
      <c r="O546" t="str">
        <f>INDEX(dimensao_bairro!B:B,MATCH(tabela_origem!E546,dimensao_bairro!A:A,0))</f>
        <v>Portão</v>
      </c>
      <c r="P546" t="str">
        <f t="shared" si="26"/>
        <v>MÉDIO</v>
      </c>
    </row>
    <row r="547" spans="1:16" x14ac:dyDescent="0.25">
      <c r="A547" s="1">
        <v>46107</v>
      </c>
      <c r="B547" t="s">
        <v>7</v>
      </c>
      <c r="C547" s="2">
        <v>0.73888888888888893</v>
      </c>
      <c r="D547" s="2" t="str">
        <f t="shared" si="24"/>
        <v>17h</v>
      </c>
      <c r="E547" t="s">
        <v>5</v>
      </c>
      <c r="F547" t="str">
        <f>VLOOKUP(E547,dimensao_bairro!A:B,2,FALSE)</f>
        <v>Portão</v>
      </c>
      <c r="G547" t="s">
        <v>23</v>
      </c>
      <c r="H547" s="5">
        <v>8.6999999999999993</v>
      </c>
      <c r="I547" s="5">
        <v>2</v>
      </c>
      <c r="J547" t="str">
        <f t="shared" si="25"/>
        <v>Curta</v>
      </c>
      <c r="M547" t="str">
        <f>VLOOKUP(E547,dimensao_bairro!A:B,2,FALSE)</f>
        <v>Portão</v>
      </c>
      <c r="O547" t="str">
        <f>INDEX(dimensao_bairro!B:B,MATCH(tabela_origem!E547,dimensao_bairro!A:A,0))</f>
        <v>Portão</v>
      </c>
      <c r="P547" t="str">
        <f t="shared" si="26"/>
        <v>MÉDIO</v>
      </c>
    </row>
    <row r="548" spans="1:16" x14ac:dyDescent="0.25">
      <c r="A548" s="1">
        <v>46107</v>
      </c>
      <c r="B548" t="s">
        <v>7</v>
      </c>
      <c r="C548" s="2">
        <v>0.76666666666666661</v>
      </c>
      <c r="D548" s="2" t="str">
        <f t="shared" si="24"/>
        <v>18h</v>
      </c>
      <c r="E548" t="s">
        <v>26</v>
      </c>
      <c r="F548" t="str">
        <f>VLOOKUP(E548,dimensao_bairro!A:B,2,FALSE)</f>
        <v>Portão</v>
      </c>
      <c r="G548" t="s">
        <v>9</v>
      </c>
      <c r="H548" s="5">
        <v>8.6</v>
      </c>
      <c r="I548" s="5">
        <v>3.5</v>
      </c>
      <c r="J548" t="str">
        <f t="shared" si="25"/>
        <v>Média</v>
      </c>
      <c r="M548" t="str">
        <f>VLOOKUP(E548,dimensao_bairro!A:B,2,FALSE)</f>
        <v>Portão</v>
      </c>
      <c r="O548" t="str">
        <f>INDEX(dimensao_bairro!B:B,MATCH(tabela_origem!E548,dimensao_bairro!A:A,0))</f>
        <v>Portão</v>
      </c>
      <c r="P548" t="str">
        <f t="shared" si="26"/>
        <v>MÉDIO</v>
      </c>
    </row>
    <row r="549" spans="1:16" x14ac:dyDescent="0.25">
      <c r="A549" s="1">
        <v>46107</v>
      </c>
      <c r="B549" t="s">
        <v>7</v>
      </c>
      <c r="C549" s="2">
        <v>0.73125000000000007</v>
      </c>
      <c r="D549" s="2" t="str">
        <f t="shared" si="24"/>
        <v>17h</v>
      </c>
      <c r="E549" t="s">
        <v>5</v>
      </c>
      <c r="F549" t="str">
        <f>VLOOKUP(E549,dimensao_bairro!A:B,2,FALSE)</f>
        <v>Portão</v>
      </c>
      <c r="G549" t="s">
        <v>6</v>
      </c>
      <c r="H549" s="5">
        <v>8.1999999999999993</v>
      </c>
      <c r="I549" s="5">
        <v>2</v>
      </c>
      <c r="J549" t="str">
        <f t="shared" si="25"/>
        <v>Curta</v>
      </c>
      <c r="M549" t="str">
        <f>VLOOKUP(E549,dimensao_bairro!A:B,2,FALSE)</f>
        <v>Portão</v>
      </c>
      <c r="O549" t="str">
        <f>INDEX(dimensao_bairro!B:B,MATCH(tabela_origem!E549,dimensao_bairro!A:A,0))</f>
        <v>Portão</v>
      </c>
      <c r="P549" t="str">
        <f t="shared" si="26"/>
        <v>MÉDIO</v>
      </c>
    </row>
    <row r="550" spans="1:16" x14ac:dyDescent="0.25">
      <c r="A550" s="1">
        <v>46107</v>
      </c>
      <c r="B550" t="s">
        <v>7</v>
      </c>
      <c r="C550" s="2">
        <v>0.7583333333333333</v>
      </c>
      <c r="D550" s="2" t="str">
        <f t="shared" si="24"/>
        <v>18h</v>
      </c>
      <c r="E550" t="s">
        <v>9</v>
      </c>
      <c r="F550" t="str">
        <f>VLOOKUP(E550,dimensao_bairro!A:B,2,FALSE)</f>
        <v>Portão</v>
      </c>
      <c r="G550" t="s">
        <v>26</v>
      </c>
      <c r="H550" s="5">
        <v>8.1</v>
      </c>
      <c r="I550" s="5">
        <v>2.1</v>
      </c>
      <c r="J550" t="str">
        <f t="shared" si="25"/>
        <v>Média</v>
      </c>
      <c r="M550" t="str">
        <f>VLOOKUP(E550,dimensao_bairro!A:B,2,FALSE)</f>
        <v>Portão</v>
      </c>
      <c r="O550" t="str">
        <f>INDEX(dimensao_bairro!B:B,MATCH(tabela_origem!E550,dimensao_bairro!A:A,0))</f>
        <v>Portão</v>
      </c>
      <c r="P550" t="str">
        <f t="shared" si="26"/>
        <v>MÉDIO</v>
      </c>
    </row>
    <row r="551" spans="1:16" x14ac:dyDescent="0.25">
      <c r="A551" s="1">
        <v>46107</v>
      </c>
      <c r="B551" t="s">
        <v>7</v>
      </c>
      <c r="C551" s="2">
        <v>0.71250000000000002</v>
      </c>
      <c r="D551" s="2" t="str">
        <f t="shared" si="24"/>
        <v>17h</v>
      </c>
      <c r="E551" t="s">
        <v>6</v>
      </c>
      <c r="F551" t="str">
        <f>VLOOKUP(E551,dimensao_bairro!A:B,2,FALSE)</f>
        <v>Portão</v>
      </c>
      <c r="G551" t="s">
        <v>14</v>
      </c>
      <c r="H551" s="5">
        <v>7.4</v>
      </c>
      <c r="I551" s="5">
        <v>1.8</v>
      </c>
      <c r="J551" t="str">
        <f t="shared" si="25"/>
        <v>Curta</v>
      </c>
      <c r="M551" t="str">
        <f>VLOOKUP(E551,dimensao_bairro!A:B,2,FALSE)</f>
        <v>Portão</v>
      </c>
      <c r="O551" t="str">
        <f>INDEX(dimensao_bairro!B:B,MATCH(tabela_origem!E551,dimensao_bairro!A:A,0))</f>
        <v>Portão</v>
      </c>
      <c r="P551" t="str">
        <f t="shared" si="26"/>
        <v>MÉDIO</v>
      </c>
    </row>
    <row r="552" spans="1:16" x14ac:dyDescent="0.25">
      <c r="A552" s="1">
        <v>46107</v>
      </c>
      <c r="B552" t="s">
        <v>7</v>
      </c>
      <c r="C552" s="2">
        <v>0.79513888888888884</v>
      </c>
      <c r="D552" s="2" t="str">
        <f t="shared" si="24"/>
        <v>19h</v>
      </c>
      <c r="E552" t="s">
        <v>15</v>
      </c>
      <c r="F552" t="str">
        <f>VLOOKUP(E552,dimensao_bairro!A:B,2,FALSE)</f>
        <v>Boqueirão</v>
      </c>
      <c r="G552" t="s">
        <v>26</v>
      </c>
      <c r="H552" s="5">
        <v>7.1</v>
      </c>
      <c r="I552" s="5">
        <v>1.4</v>
      </c>
      <c r="J552" t="str">
        <f t="shared" si="25"/>
        <v>Curta</v>
      </c>
      <c r="M552" t="str">
        <f>VLOOKUP(E552,dimensao_bairro!A:B,2,FALSE)</f>
        <v>Boqueirão</v>
      </c>
      <c r="O552" t="str">
        <f>INDEX(dimensao_bairro!B:B,MATCH(tabela_origem!E552,dimensao_bairro!A:A,0))</f>
        <v>Boqueirão</v>
      </c>
      <c r="P552" t="str">
        <f t="shared" si="26"/>
        <v>MÉDIO</v>
      </c>
    </row>
    <row r="553" spans="1:16" x14ac:dyDescent="0.25">
      <c r="A553" s="1">
        <v>46107</v>
      </c>
      <c r="B553" t="s">
        <v>7</v>
      </c>
      <c r="C553" s="2">
        <v>0.69027777777777777</v>
      </c>
      <c r="D553" s="2" t="str">
        <f t="shared" si="24"/>
        <v>16h</v>
      </c>
      <c r="E553" t="s">
        <v>6</v>
      </c>
      <c r="F553" t="str">
        <f>VLOOKUP(E553,dimensao_bairro!A:B,2,FALSE)</f>
        <v>Portão</v>
      </c>
      <c r="G553" t="s">
        <v>6</v>
      </c>
      <c r="H553" s="5">
        <v>7.1</v>
      </c>
      <c r="I553" s="5">
        <v>2.5</v>
      </c>
      <c r="J553" t="str">
        <f t="shared" si="25"/>
        <v>Média</v>
      </c>
      <c r="M553" t="str">
        <f>VLOOKUP(E553,dimensao_bairro!A:B,2,FALSE)</f>
        <v>Portão</v>
      </c>
      <c r="O553" t="str">
        <f>INDEX(dimensao_bairro!B:B,MATCH(tabela_origem!E553,dimensao_bairro!A:A,0))</f>
        <v>Portão</v>
      </c>
      <c r="P553" t="str">
        <f t="shared" si="26"/>
        <v>MÉDIO</v>
      </c>
    </row>
    <row r="554" spans="1:16" x14ac:dyDescent="0.25">
      <c r="A554" s="1">
        <v>46107</v>
      </c>
      <c r="B554" t="s">
        <v>7</v>
      </c>
      <c r="C554" s="2">
        <v>0.70208333333333339</v>
      </c>
      <c r="D554" s="2" t="str">
        <f t="shared" si="24"/>
        <v>16h</v>
      </c>
      <c r="E554" t="s">
        <v>26</v>
      </c>
      <c r="F554" t="str">
        <f>VLOOKUP(E554,dimensao_bairro!A:B,2,FALSE)</f>
        <v>Portão</v>
      </c>
      <c r="G554" t="s">
        <v>15</v>
      </c>
      <c r="H554" s="5">
        <v>6.9</v>
      </c>
      <c r="I554" s="5">
        <v>1.2</v>
      </c>
      <c r="J554" t="str">
        <f t="shared" si="25"/>
        <v>Curta</v>
      </c>
      <c r="M554" t="str">
        <f>VLOOKUP(E554,dimensao_bairro!A:B,2,FALSE)</f>
        <v>Portão</v>
      </c>
      <c r="O554" t="str">
        <f>INDEX(dimensao_bairro!B:B,MATCH(tabela_origem!E554,dimensao_bairro!A:A,0))</f>
        <v>Portão</v>
      </c>
      <c r="P554" t="str">
        <f t="shared" si="26"/>
        <v>BAIXO</v>
      </c>
    </row>
    <row r="555" spans="1:16" x14ac:dyDescent="0.25">
      <c r="A555" s="1">
        <v>46107</v>
      </c>
      <c r="B555" t="s">
        <v>7</v>
      </c>
      <c r="C555" s="2">
        <v>0.78749999999999998</v>
      </c>
      <c r="D555" s="2" t="str">
        <f t="shared" si="24"/>
        <v>18h</v>
      </c>
      <c r="E555" t="s">
        <v>15</v>
      </c>
      <c r="F555" t="str">
        <f>VLOOKUP(E555,dimensao_bairro!A:B,2,FALSE)</f>
        <v>Boqueirão</v>
      </c>
      <c r="G555" t="s">
        <v>26</v>
      </c>
      <c r="H555" s="5">
        <v>6.6</v>
      </c>
      <c r="I555" s="5">
        <v>0.8</v>
      </c>
      <c r="J555" t="str">
        <f t="shared" si="25"/>
        <v>Curta</v>
      </c>
      <c r="M555" t="str">
        <f>VLOOKUP(E555,dimensao_bairro!A:B,2,FALSE)</f>
        <v>Boqueirão</v>
      </c>
      <c r="O555" t="str">
        <f>INDEX(dimensao_bairro!B:B,MATCH(tabela_origem!E555,dimensao_bairro!A:A,0))</f>
        <v>Boqueirão</v>
      </c>
      <c r="P555" t="str">
        <f t="shared" si="26"/>
        <v>BAIXO</v>
      </c>
    </row>
    <row r="556" spans="1:16" x14ac:dyDescent="0.25">
      <c r="A556" s="1">
        <v>46107</v>
      </c>
      <c r="B556" t="s">
        <v>7</v>
      </c>
      <c r="C556" s="2">
        <v>0.82986111111111116</v>
      </c>
      <c r="D556" s="2" t="str">
        <f t="shared" si="24"/>
        <v>19h</v>
      </c>
      <c r="E556" t="s">
        <v>8</v>
      </c>
      <c r="F556" t="str">
        <f>VLOOKUP(E556,dimensao_bairro!A:B,2,FALSE)</f>
        <v>Portão</v>
      </c>
      <c r="G556" t="s">
        <v>27</v>
      </c>
      <c r="H556" s="5">
        <v>6.6</v>
      </c>
      <c r="I556" s="5">
        <v>1.4</v>
      </c>
      <c r="J556" t="str">
        <f t="shared" si="25"/>
        <v>Curta</v>
      </c>
      <c r="M556" t="str">
        <f>VLOOKUP(E556,dimensao_bairro!A:B,2,FALSE)</f>
        <v>Portão</v>
      </c>
      <c r="O556" t="str">
        <f>INDEX(dimensao_bairro!B:B,MATCH(tabela_origem!E556,dimensao_bairro!A:A,0))</f>
        <v>Portão</v>
      </c>
      <c r="P556" t="str">
        <f t="shared" si="26"/>
        <v>BAIXO</v>
      </c>
    </row>
    <row r="557" spans="1:16" x14ac:dyDescent="0.25">
      <c r="A557" s="1">
        <v>46107</v>
      </c>
      <c r="B557" t="s">
        <v>7</v>
      </c>
      <c r="C557" s="2">
        <v>0.83194444444444438</v>
      </c>
      <c r="D557" s="2" t="str">
        <f t="shared" si="24"/>
        <v>19h</v>
      </c>
      <c r="E557" t="s">
        <v>26</v>
      </c>
      <c r="F557" t="str">
        <f>VLOOKUP(E557,dimensao_bairro!A:B,2,FALSE)</f>
        <v>Portão</v>
      </c>
      <c r="G557" t="s">
        <v>6</v>
      </c>
      <c r="H557" s="5">
        <v>6.6</v>
      </c>
      <c r="I557" s="5">
        <v>1.1000000000000001</v>
      </c>
      <c r="J557" t="str">
        <f t="shared" si="25"/>
        <v>Curta</v>
      </c>
      <c r="M557" t="str">
        <f>VLOOKUP(E557,dimensao_bairro!A:B,2,FALSE)</f>
        <v>Portão</v>
      </c>
      <c r="O557" t="str">
        <f>INDEX(dimensao_bairro!B:B,MATCH(tabela_origem!E557,dimensao_bairro!A:A,0))</f>
        <v>Portão</v>
      </c>
      <c r="P557" t="str">
        <f t="shared" si="26"/>
        <v>BAIXO</v>
      </c>
    </row>
    <row r="558" spans="1:16" x14ac:dyDescent="0.25">
      <c r="A558" s="1">
        <v>46107</v>
      </c>
      <c r="B558" t="s">
        <v>7</v>
      </c>
      <c r="C558" s="2">
        <v>0.68611111111111101</v>
      </c>
      <c r="D558" s="2" t="str">
        <f t="shared" si="24"/>
        <v>16h</v>
      </c>
      <c r="E558" t="s">
        <v>5</v>
      </c>
      <c r="F558" t="str">
        <f>VLOOKUP(E558,dimensao_bairro!A:B,2,FALSE)</f>
        <v>Portão</v>
      </c>
      <c r="G558" t="s">
        <v>14</v>
      </c>
      <c r="H558" s="5">
        <v>6.6</v>
      </c>
      <c r="I558" s="5">
        <v>2</v>
      </c>
      <c r="J558" t="str">
        <f t="shared" si="25"/>
        <v>Curta</v>
      </c>
      <c r="M558" t="str">
        <f>VLOOKUP(E558,dimensao_bairro!A:B,2,FALSE)</f>
        <v>Portão</v>
      </c>
      <c r="O558" t="str">
        <f>INDEX(dimensao_bairro!B:B,MATCH(tabela_origem!E558,dimensao_bairro!A:A,0))</f>
        <v>Portão</v>
      </c>
      <c r="P558" t="str">
        <f t="shared" si="26"/>
        <v>BAIXO</v>
      </c>
    </row>
    <row r="559" spans="1:16" x14ac:dyDescent="0.25">
      <c r="A559" s="1">
        <v>46107</v>
      </c>
      <c r="B559" t="s">
        <v>7</v>
      </c>
      <c r="C559" s="2">
        <v>0.80763888888888891</v>
      </c>
      <c r="D559" s="2" t="str">
        <f t="shared" si="24"/>
        <v>19h</v>
      </c>
      <c r="E559" t="s">
        <v>44</v>
      </c>
      <c r="F559" t="str">
        <f>VLOOKUP(E559,dimensao_bairro!A:B,2,FALSE)</f>
        <v>Cajuru</v>
      </c>
      <c r="G559" t="s">
        <v>15</v>
      </c>
      <c r="H559" s="5">
        <v>6.6</v>
      </c>
      <c r="I559" s="5">
        <v>1.5</v>
      </c>
      <c r="J559" t="str">
        <f t="shared" si="25"/>
        <v>Curta</v>
      </c>
      <c r="M559" t="str">
        <f>VLOOKUP(E559,dimensao_bairro!A:B,2,FALSE)</f>
        <v>Cajuru</v>
      </c>
      <c r="O559" t="str">
        <f>INDEX(dimensao_bairro!B:B,MATCH(tabela_origem!E559,dimensao_bairro!A:A,0))</f>
        <v>Cajuru</v>
      </c>
      <c r="P559" t="str">
        <f t="shared" si="26"/>
        <v>BAIXO</v>
      </c>
    </row>
    <row r="560" spans="1:16" x14ac:dyDescent="0.25">
      <c r="A560" s="1">
        <v>46107</v>
      </c>
      <c r="B560" t="s">
        <v>7</v>
      </c>
      <c r="C560" s="2">
        <v>0.77638888888888891</v>
      </c>
      <c r="D560" s="2" t="str">
        <f t="shared" si="24"/>
        <v>18h</v>
      </c>
      <c r="E560" t="s">
        <v>45</v>
      </c>
      <c r="F560" t="str">
        <f>VLOOKUP(E560,dimensao_bairro!A:B,2,FALSE)</f>
        <v>Matriz</v>
      </c>
      <c r="G560" t="s">
        <v>5</v>
      </c>
      <c r="H560" s="5">
        <v>6.5</v>
      </c>
      <c r="I560" s="5">
        <v>1.7</v>
      </c>
      <c r="J560" t="str">
        <f t="shared" si="25"/>
        <v>Curta</v>
      </c>
      <c r="M560" t="str">
        <f>VLOOKUP(E560,dimensao_bairro!A:B,2,FALSE)</f>
        <v>Matriz</v>
      </c>
      <c r="O560" t="str">
        <f>INDEX(dimensao_bairro!B:B,MATCH(tabela_origem!E560,dimensao_bairro!A:A,0))</f>
        <v>Matriz</v>
      </c>
      <c r="P560" t="str">
        <f t="shared" si="26"/>
        <v>BAIXO</v>
      </c>
    </row>
    <row r="561" spans="1:16" x14ac:dyDescent="0.25">
      <c r="A561" s="1">
        <v>46107</v>
      </c>
      <c r="B561" t="s">
        <v>7</v>
      </c>
      <c r="C561" s="2">
        <v>0.67222222222222217</v>
      </c>
      <c r="D561" s="2" t="str">
        <f t="shared" si="24"/>
        <v>16h</v>
      </c>
      <c r="E561" t="s">
        <v>47</v>
      </c>
      <c r="F561" t="str">
        <f>VLOOKUP(E561,dimensao_bairro!A:B,2,FALSE)</f>
        <v>Boa Vista</v>
      </c>
      <c r="G561" t="s">
        <v>14</v>
      </c>
      <c r="H561" s="5">
        <v>6.5</v>
      </c>
      <c r="I561" s="5">
        <v>0.8</v>
      </c>
      <c r="J561" t="str">
        <f t="shared" si="25"/>
        <v>Curta</v>
      </c>
      <c r="M561" t="str">
        <f>VLOOKUP(E561,dimensao_bairro!A:B,2,FALSE)</f>
        <v>Boa Vista</v>
      </c>
      <c r="O561" t="str">
        <f>INDEX(dimensao_bairro!B:B,MATCH(tabela_origem!E561,dimensao_bairro!A:A,0))</f>
        <v>Boa Vista</v>
      </c>
      <c r="P561" t="str">
        <f t="shared" si="26"/>
        <v>BAIXO</v>
      </c>
    </row>
    <row r="562" spans="1:16" x14ac:dyDescent="0.25">
      <c r="A562" s="1">
        <v>46107</v>
      </c>
      <c r="B562" t="s">
        <v>7</v>
      </c>
      <c r="C562" s="2">
        <v>0.79791666666666661</v>
      </c>
      <c r="D562" s="2" t="str">
        <f t="shared" si="24"/>
        <v>19h</v>
      </c>
      <c r="E562" t="s">
        <v>49</v>
      </c>
      <c r="F562" t="str">
        <f>VLOOKUP(E562,dimensao_bairro!A:B,2,FALSE)</f>
        <v>Matriz</v>
      </c>
      <c r="G562" t="s">
        <v>14</v>
      </c>
      <c r="H562" s="5">
        <v>6.5</v>
      </c>
      <c r="I562" s="5">
        <v>1.8</v>
      </c>
      <c r="J562" t="str">
        <f t="shared" si="25"/>
        <v>Curta</v>
      </c>
      <c r="M562" t="str">
        <f>VLOOKUP(E562,dimensao_bairro!A:B,2,FALSE)</f>
        <v>Matriz</v>
      </c>
      <c r="O562" t="str">
        <f>INDEX(dimensao_bairro!B:B,MATCH(tabela_origem!E562,dimensao_bairro!A:A,0))</f>
        <v>Matriz</v>
      </c>
      <c r="P562" t="str">
        <f t="shared" si="26"/>
        <v>BAIXO</v>
      </c>
    </row>
    <row r="563" spans="1:16" x14ac:dyDescent="0.25">
      <c r="A563" s="1">
        <v>46107</v>
      </c>
      <c r="B563" t="s">
        <v>7</v>
      </c>
      <c r="C563" s="2">
        <v>0.80069444444444438</v>
      </c>
      <c r="D563" s="2" t="str">
        <f t="shared" si="24"/>
        <v>19h</v>
      </c>
      <c r="E563" t="s">
        <v>44</v>
      </c>
      <c r="F563" t="str">
        <f>VLOOKUP(E563,dimensao_bairro!A:B,2,FALSE)</f>
        <v>Cajuru</v>
      </c>
      <c r="G563" t="s">
        <v>10</v>
      </c>
      <c r="H563" s="5">
        <v>6.5</v>
      </c>
      <c r="I563" s="5">
        <v>2.2000000000000002</v>
      </c>
      <c r="J563" t="str">
        <f t="shared" si="25"/>
        <v>Média</v>
      </c>
      <c r="M563" t="str">
        <f>VLOOKUP(E563,dimensao_bairro!A:B,2,FALSE)</f>
        <v>Cajuru</v>
      </c>
      <c r="O563" t="str">
        <f>INDEX(dimensao_bairro!B:B,MATCH(tabela_origem!E563,dimensao_bairro!A:A,0))</f>
        <v>Cajuru</v>
      </c>
      <c r="P563" t="str">
        <f t="shared" si="26"/>
        <v>BAIXO</v>
      </c>
    </row>
    <row r="564" spans="1:16" x14ac:dyDescent="0.25">
      <c r="A564" s="1">
        <v>46108</v>
      </c>
      <c r="B564" t="s">
        <v>7</v>
      </c>
      <c r="C564" s="2">
        <v>0.73958333333333337</v>
      </c>
      <c r="D564" s="2" t="str">
        <f t="shared" si="24"/>
        <v>17h</v>
      </c>
      <c r="E564" t="s">
        <v>13</v>
      </c>
      <c r="F564" t="str">
        <f>VLOOKUP(E564,dimensao_bairro!A:B,2,FALSE)</f>
        <v>Matriz</v>
      </c>
      <c r="G564" t="s">
        <v>6</v>
      </c>
      <c r="H564" s="5">
        <v>14.4</v>
      </c>
      <c r="I564" s="5">
        <v>4</v>
      </c>
      <c r="J564" t="str">
        <f t="shared" si="25"/>
        <v>Média</v>
      </c>
      <c r="M564" t="str">
        <f>VLOOKUP(E564,dimensao_bairro!A:B,2,FALSE)</f>
        <v>Matriz</v>
      </c>
      <c r="O564" t="str">
        <f>INDEX(dimensao_bairro!B:B,MATCH(tabela_origem!E564,dimensao_bairro!A:A,0))</f>
        <v>Matriz</v>
      </c>
      <c r="P564" t="str">
        <f t="shared" si="26"/>
        <v>ALTO</v>
      </c>
    </row>
    <row r="565" spans="1:16" x14ac:dyDescent="0.25">
      <c r="A565" s="1">
        <v>46108</v>
      </c>
      <c r="B565" t="s">
        <v>7</v>
      </c>
      <c r="C565" s="2">
        <v>0.71458333333333324</v>
      </c>
      <c r="D565" s="2" t="str">
        <f t="shared" si="24"/>
        <v>17h</v>
      </c>
      <c r="E565" t="s">
        <v>18</v>
      </c>
      <c r="F565" t="str">
        <f>VLOOKUP(E565,dimensao_bairro!A:B,2,FALSE)</f>
        <v>Matriz</v>
      </c>
      <c r="G565" t="s">
        <v>5</v>
      </c>
      <c r="H565" s="5">
        <v>14.3</v>
      </c>
      <c r="I565" s="5">
        <v>2.9</v>
      </c>
      <c r="J565" t="str">
        <f t="shared" si="25"/>
        <v>Média</v>
      </c>
      <c r="M565" t="str">
        <f>VLOOKUP(E565,dimensao_bairro!A:B,2,FALSE)</f>
        <v>Matriz</v>
      </c>
      <c r="O565" t="str">
        <f>INDEX(dimensao_bairro!B:B,MATCH(tabela_origem!E565,dimensao_bairro!A:A,0))</f>
        <v>Matriz</v>
      </c>
      <c r="P565" t="str">
        <f t="shared" si="26"/>
        <v>ALTO</v>
      </c>
    </row>
    <row r="566" spans="1:16" x14ac:dyDescent="0.25">
      <c r="A566" s="1">
        <v>46108</v>
      </c>
      <c r="B566" t="s">
        <v>7</v>
      </c>
      <c r="C566" s="2">
        <v>0.70138888888888884</v>
      </c>
      <c r="D566" s="2" t="str">
        <f t="shared" si="24"/>
        <v>16h</v>
      </c>
      <c r="E566" t="s">
        <v>48</v>
      </c>
      <c r="F566" t="str">
        <f>VLOOKUP(E566,dimensao_bairro!A:B,2,FALSE)</f>
        <v>Matriz</v>
      </c>
      <c r="G566" t="s">
        <v>11</v>
      </c>
      <c r="H566" s="5">
        <v>10.3</v>
      </c>
      <c r="I566" s="5">
        <v>2.5</v>
      </c>
      <c r="J566" t="str">
        <f t="shared" si="25"/>
        <v>Média</v>
      </c>
      <c r="M566" t="str">
        <f>VLOOKUP(E566,dimensao_bairro!A:B,2,FALSE)</f>
        <v>Matriz</v>
      </c>
      <c r="O566" t="str">
        <f>INDEX(dimensao_bairro!B:B,MATCH(tabela_origem!E566,dimensao_bairro!A:A,0))</f>
        <v>Matriz</v>
      </c>
      <c r="P566" t="str">
        <f t="shared" si="26"/>
        <v>ALTO</v>
      </c>
    </row>
    <row r="567" spans="1:16" x14ac:dyDescent="0.25">
      <c r="A567" s="1">
        <v>46108</v>
      </c>
      <c r="B567" t="s">
        <v>7</v>
      </c>
      <c r="C567" s="2">
        <v>0.8041666666666667</v>
      </c>
      <c r="D567" s="2" t="str">
        <f t="shared" si="24"/>
        <v>19h</v>
      </c>
      <c r="E567" t="s">
        <v>12</v>
      </c>
      <c r="F567" t="str">
        <f>VLOOKUP(E567,dimensao_bairro!A:B,2,FALSE)</f>
        <v>Portão</v>
      </c>
      <c r="G567" t="s">
        <v>5</v>
      </c>
      <c r="H567" s="5">
        <v>9.9</v>
      </c>
      <c r="I567" s="5">
        <v>4.5</v>
      </c>
      <c r="J567" t="str">
        <f t="shared" si="25"/>
        <v>Longa</v>
      </c>
      <c r="M567" t="str">
        <f>VLOOKUP(E567,dimensao_bairro!A:B,2,FALSE)</f>
        <v>Portão</v>
      </c>
      <c r="O567" t="str">
        <f>INDEX(dimensao_bairro!B:B,MATCH(tabela_origem!E567,dimensao_bairro!A:A,0))</f>
        <v>Portão</v>
      </c>
      <c r="P567" t="str">
        <f t="shared" si="26"/>
        <v>MÉDIO</v>
      </c>
    </row>
    <row r="568" spans="1:16" x14ac:dyDescent="0.25">
      <c r="A568" s="1">
        <v>46108</v>
      </c>
      <c r="B568" t="s">
        <v>7</v>
      </c>
      <c r="C568" s="2">
        <v>0.75486111111111109</v>
      </c>
      <c r="D568" s="2" t="str">
        <f t="shared" si="24"/>
        <v>18h</v>
      </c>
      <c r="E568" t="s">
        <v>15</v>
      </c>
      <c r="F568" t="str">
        <f>VLOOKUP(E568,dimensao_bairro!A:B,2,FALSE)</f>
        <v>Boqueirão</v>
      </c>
      <c r="G568" t="s">
        <v>26</v>
      </c>
      <c r="H568" s="5">
        <v>9.8000000000000007</v>
      </c>
      <c r="I568" s="5">
        <v>3.3</v>
      </c>
      <c r="J568" t="str">
        <f t="shared" si="25"/>
        <v>Média</v>
      </c>
      <c r="M568" t="str">
        <f>VLOOKUP(E568,dimensao_bairro!A:B,2,FALSE)</f>
        <v>Boqueirão</v>
      </c>
      <c r="O568" t="str">
        <f>INDEX(dimensao_bairro!B:B,MATCH(tabela_origem!E568,dimensao_bairro!A:A,0))</f>
        <v>Boqueirão</v>
      </c>
      <c r="P568" t="str">
        <f t="shared" si="26"/>
        <v>MÉDIO</v>
      </c>
    </row>
    <row r="569" spans="1:16" x14ac:dyDescent="0.25">
      <c r="A569" s="1">
        <v>46108</v>
      </c>
      <c r="B569" t="s">
        <v>7</v>
      </c>
      <c r="C569" s="2">
        <v>0.79652777777777783</v>
      </c>
      <c r="D569" s="2" t="str">
        <f t="shared" si="24"/>
        <v>19h</v>
      </c>
      <c r="E569" t="s">
        <v>13</v>
      </c>
      <c r="F569" t="str">
        <f>VLOOKUP(E569,dimensao_bairro!A:B,2,FALSE)</f>
        <v>Matriz</v>
      </c>
      <c r="G569" t="s">
        <v>27</v>
      </c>
      <c r="H569" s="5">
        <v>9.3000000000000007</v>
      </c>
      <c r="I569" s="5">
        <v>2</v>
      </c>
      <c r="J569" t="str">
        <f t="shared" si="25"/>
        <v>Curta</v>
      </c>
      <c r="M569" t="str">
        <f>VLOOKUP(E569,dimensao_bairro!A:B,2,FALSE)</f>
        <v>Matriz</v>
      </c>
      <c r="O569" t="str">
        <f>INDEX(dimensao_bairro!B:B,MATCH(tabela_origem!E569,dimensao_bairro!A:A,0))</f>
        <v>Matriz</v>
      </c>
      <c r="P569" t="str">
        <f t="shared" si="26"/>
        <v>MÉDIO</v>
      </c>
    </row>
    <row r="570" spans="1:16" x14ac:dyDescent="0.25">
      <c r="A570" s="1">
        <v>46108</v>
      </c>
      <c r="B570" t="s">
        <v>7</v>
      </c>
      <c r="C570" s="2">
        <v>0.78402777777777777</v>
      </c>
      <c r="D570" s="2" t="str">
        <f t="shared" si="24"/>
        <v>18h</v>
      </c>
      <c r="E570" t="s">
        <v>12</v>
      </c>
      <c r="F570" t="str">
        <f>VLOOKUP(E570,dimensao_bairro!A:B,2,FALSE)</f>
        <v>Portão</v>
      </c>
      <c r="G570" t="s">
        <v>15</v>
      </c>
      <c r="H570" s="5">
        <v>9.1</v>
      </c>
      <c r="I570" s="5">
        <v>1.8</v>
      </c>
      <c r="J570" t="str">
        <f t="shared" si="25"/>
        <v>Curta</v>
      </c>
      <c r="M570" t="str">
        <f>VLOOKUP(E570,dimensao_bairro!A:B,2,FALSE)</f>
        <v>Portão</v>
      </c>
      <c r="O570" t="str">
        <f>INDEX(dimensao_bairro!B:B,MATCH(tabela_origem!E570,dimensao_bairro!A:A,0))</f>
        <v>Portão</v>
      </c>
      <c r="P570" t="str">
        <f t="shared" si="26"/>
        <v>MÉDIO</v>
      </c>
    </row>
    <row r="571" spans="1:16" x14ac:dyDescent="0.25">
      <c r="A571" s="1">
        <v>46108</v>
      </c>
      <c r="B571" t="s">
        <v>7</v>
      </c>
      <c r="C571" s="2">
        <v>0.8125</v>
      </c>
      <c r="D571" s="2" t="str">
        <f t="shared" si="24"/>
        <v>19h</v>
      </c>
      <c r="E571" t="s">
        <v>25</v>
      </c>
      <c r="F571" t="str">
        <f>VLOOKUP(E571,dimensao_bairro!A:B,2,FALSE)</f>
        <v>Cajuru</v>
      </c>
      <c r="G571" t="s">
        <v>37</v>
      </c>
      <c r="H571" s="5">
        <v>8.6999999999999993</v>
      </c>
      <c r="I571" s="5">
        <v>3.4</v>
      </c>
      <c r="J571" t="str">
        <f t="shared" si="25"/>
        <v>Média</v>
      </c>
      <c r="M571" t="str">
        <f>VLOOKUP(E571,dimensao_bairro!A:B,2,FALSE)</f>
        <v>Cajuru</v>
      </c>
      <c r="O571" t="str">
        <f>INDEX(dimensao_bairro!B:B,MATCH(tabela_origem!E571,dimensao_bairro!A:A,0))</f>
        <v>Cajuru</v>
      </c>
      <c r="P571" t="str">
        <f t="shared" si="26"/>
        <v>MÉDIO</v>
      </c>
    </row>
    <row r="572" spans="1:16" x14ac:dyDescent="0.25">
      <c r="A572" s="1">
        <v>46108</v>
      </c>
      <c r="B572" t="s">
        <v>7</v>
      </c>
      <c r="C572" s="2">
        <v>0.73541666666666661</v>
      </c>
      <c r="D572" s="2" t="str">
        <f t="shared" si="24"/>
        <v>17h</v>
      </c>
      <c r="E572" t="s">
        <v>9</v>
      </c>
      <c r="F572" t="str">
        <f>VLOOKUP(E572,dimensao_bairro!A:B,2,FALSE)</f>
        <v>Portão</v>
      </c>
      <c r="G572" t="s">
        <v>5</v>
      </c>
      <c r="H572" s="5">
        <v>8.3000000000000007</v>
      </c>
      <c r="I572" s="5">
        <v>1.2</v>
      </c>
      <c r="J572" t="str">
        <f t="shared" si="25"/>
        <v>Curta</v>
      </c>
      <c r="M572" t="str">
        <f>VLOOKUP(E572,dimensao_bairro!A:B,2,FALSE)</f>
        <v>Portão</v>
      </c>
      <c r="O572" t="str">
        <f>INDEX(dimensao_bairro!B:B,MATCH(tabela_origem!E572,dimensao_bairro!A:A,0))</f>
        <v>Portão</v>
      </c>
      <c r="P572" t="str">
        <f t="shared" si="26"/>
        <v>MÉDIO</v>
      </c>
    </row>
    <row r="573" spans="1:16" x14ac:dyDescent="0.25">
      <c r="A573" s="1">
        <v>46108</v>
      </c>
      <c r="B573" t="s">
        <v>7</v>
      </c>
      <c r="C573" s="2">
        <v>0.70833333333333337</v>
      </c>
      <c r="D573" s="2" t="str">
        <f t="shared" si="24"/>
        <v>17h</v>
      </c>
      <c r="E573" t="s">
        <v>10</v>
      </c>
      <c r="F573" t="str">
        <f>VLOOKUP(E573,dimensao_bairro!A:B,2,FALSE)</f>
        <v>Portão</v>
      </c>
      <c r="G573" t="s">
        <v>11</v>
      </c>
      <c r="H573" s="5">
        <v>8.3000000000000007</v>
      </c>
      <c r="I573" s="5">
        <v>2</v>
      </c>
      <c r="J573" t="str">
        <f t="shared" si="25"/>
        <v>Curta</v>
      </c>
      <c r="M573" t="str">
        <f>VLOOKUP(E573,dimensao_bairro!A:B,2,FALSE)</f>
        <v>Portão</v>
      </c>
      <c r="O573" t="str">
        <f>INDEX(dimensao_bairro!B:B,MATCH(tabela_origem!E573,dimensao_bairro!A:A,0))</f>
        <v>Portão</v>
      </c>
      <c r="P573" t="str">
        <f t="shared" si="26"/>
        <v>MÉDIO</v>
      </c>
    </row>
    <row r="574" spans="1:16" x14ac:dyDescent="0.25">
      <c r="A574" s="1">
        <v>46108</v>
      </c>
      <c r="B574" t="s">
        <v>7</v>
      </c>
      <c r="C574" s="2">
        <v>0.6875</v>
      </c>
      <c r="D574" s="2" t="str">
        <f t="shared" si="24"/>
        <v>16h</v>
      </c>
      <c r="E574" t="s">
        <v>10</v>
      </c>
      <c r="F574" t="str">
        <f>VLOOKUP(E574,dimensao_bairro!A:B,2,FALSE)</f>
        <v>Portão</v>
      </c>
      <c r="G574" t="s">
        <v>5</v>
      </c>
      <c r="H574" s="5">
        <v>7.9</v>
      </c>
      <c r="I574" s="5">
        <v>1.6</v>
      </c>
      <c r="J574" t="str">
        <f t="shared" si="25"/>
        <v>Curta</v>
      </c>
      <c r="M574" t="str">
        <f>VLOOKUP(E574,dimensao_bairro!A:B,2,FALSE)</f>
        <v>Portão</v>
      </c>
      <c r="O574" t="str">
        <f>INDEX(dimensao_bairro!B:B,MATCH(tabela_origem!E574,dimensao_bairro!A:A,0))</f>
        <v>Portão</v>
      </c>
      <c r="P574" t="str">
        <f t="shared" si="26"/>
        <v>MÉDIO</v>
      </c>
    </row>
    <row r="575" spans="1:16" x14ac:dyDescent="0.25">
      <c r="A575" s="1">
        <v>46108</v>
      </c>
      <c r="B575" t="s">
        <v>7</v>
      </c>
      <c r="C575" s="2">
        <v>0.6645833333333333</v>
      </c>
      <c r="D575" s="2" t="str">
        <f t="shared" si="24"/>
        <v>15h</v>
      </c>
      <c r="E575" t="s">
        <v>36</v>
      </c>
      <c r="F575" t="str">
        <f>VLOOKUP(E575,dimensao_bairro!A:B,2,FALSE)</f>
        <v>Portão</v>
      </c>
      <c r="G575" t="s">
        <v>6</v>
      </c>
      <c r="H575" s="5">
        <v>7.8</v>
      </c>
      <c r="I575" s="5">
        <v>1.6</v>
      </c>
      <c r="J575" t="str">
        <f t="shared" si="25"/>
        <v>Curta</v>
      </c>
      <c r="M575" t="str">
        <f>VLOOKUP(E575,dimensao_bairro!A:B,2,FALSE)</f>
        <v>Portão</v>
      </c>
      <c r="O575" t="str">
        <f>INDEX(dimensao_bairro!B:B,MATCH(tabela_origem!E575,dimensao_bairro!A:A,0))</f>
        <v>Portão</v>
      </c>
      <c r="P575" t="str">
        <f t="shared" si="26"/>
        <v>MÉDIO</v>
      </c>
    </row>
    <row r="576" spans="1:16" x14ac:dyDescent="0.25">
      <c r="A576" s="1">
        <v>46108</v>
      </c>
      <c r="B576" t="s">
        <v>7</v>
      </c>
      <c r="C576" s="2">
        <v>0.76597222222222217</v>
      </c>
      <c r="D576" s="2" t="str">
        <f t="shared" si="24"/>
        <v>18h</v>
      </c>
      <c r="E576" t="s">
        <v>36</v>
      </c>
      <c r="F576" t="str">
        <f>VLOOKUP(E576,dimensao_bairro!A:B,2,FALSE)</f>
        <v>Portão</v>
      </c>
      <c r="G576" t="s">
        <v>9</v>
      </c>
      <c r="H576" s="5">
        <v>7.7</v>
      </c>
      <c r="I576" s="5">
        <v>3.1</v>
      </c>
      <c r="J576" t="str">
        <f t="shared" si="25"/>
        <v>Média</v>
      </c>
      <c r="M576" t="str">
        <f>VLOOKUP(E576,dimensao_bairro!A:B,2,FALSE)</f>
        <v>Portão</v>
      </c>
      <c r="O576" t="str">
        <f>INDEX(dimensao_bairro!B:B,MATCH(tabela_origem!E576,dimensao_bairro!A:A,0))</f>
        <v>Portão</v>
      </c>
      <c r="P576" t="str">
        <f t="shared" si="26"/>
        <v>MÉDIO</v>
      </c>
    </row>
    <row r="577" spans="1:16" x14ac:dyDescent="0.25">
      <c r="A577" s="1">
        <v>46108</v>
      </c>
      <c r="B577" t="s">
        <v>7</v>
      </c>
      <c r="C577" s="2">
        <v>0.65069444444444446</v>
      </c>
      <c r="D577" s="2" t="str">
        <f t="shared" si="24"/>
        <v>15h</v>
      </c>
      <c r="E577" t="s">
        <v>13</v>
      </c>
      <c r="F577" t="str">
        <f>VLOOKUP(E577,dimensao_bairro!A:B,2,FALSE)</f>
        <v>Matriz</v>
      </c>
      <c r="G577" t="s">
        <v>11</v>
      </c>
      <c r="H577" s="5">
        <v>7.19</v>
      </c>
      <c r="I577" s="5">
        <v>1.7</v>
      </c>
      <c r="J577" t="str">
        <f t="shared" si="25"/>
        <v>Curta</v>
      </c>
      <c r="M577" t="str">
        <f>VLOOKUP(E577,dimensao_bairro!A:B,2,FALSE)</f>
        <v>Matriz</v>
      </c>
      <c r="O577" t="str">
        <f>INDEX(dimensao_bairro!B:B,MATCH(tabela_origem!E577,dimensao_bairro!A:A,0))</f>
        <v>Matriz</v>
      </c>
      <c r="P577" t="str">
        <f t="shared" si="26"/>
        <v>MÉDIO</v>
      </c>
    </row>
    <row r="578" spans="1:16" x14ac:dyDescent="0.25">
      <c r="A578" s="1">
        <v>46108</v>
      </c>
      <c r="B578" t="s">
        <v>7</v>
      </c>
      <c r="C578" s="2">
        <v>0.69027777777777777</v>
      </c>
      <c r="D578" s="2" t="str">
        <f t="shared" si="24"/>
        <v>16h</v>
      </c>
      <c r="E578" t="s">
        <v>30</v>
      </c>
      <c r="F578" t="str">
        <f>VLOOKUP(E578,dimensao_bairro!A:B,2,FALSE)</f>
        <v>Portão</v>
      </c>
      <c r="G578" t="s">
        <v>6</v>
      </c>
      <c r="H578" s="5">
        <v>7</v>
      </c>
      <c r="I578" s="5">
        <v>1.9</v>
      </c>
      <c r="J578" t="str">
        <f t="shared" si="25"/>
        <v>Curta</v>
      </c>
      <c r="M578" t="str">
        <f>VLOOKUP(E578,dimensao_bairro!A:B,2,FALSE)</f>
        <v>Portão</v>
      </c>
      <c r="O578" t="str">
        <f>INDEX(dimensao_bairro!B:B,MATCH(tabela_origem!E578,dimensao_bairro!A:A,0))</f>
        <v>Portão</v>
      </c>
      <c r="P578" t="str">
        <f t="shared" si="26"/>
        <v>MÉDIO</v>
      </c>
    </row>
    <row r="579" spans="1:16" x14ac:dyDescent="0.25">
      <c r="A579" s="1">
        <v>46108</v>
      </c>
      <c r="B579" t="s">
        <v>7</v>
      </c>
      <c r="C579" s="2">
        <v>0.72499999999999998</v>
      </c>
      <c r="D579" s="2" t="str">
        <f t="shared" ref="D579:D590" si="27">TEXT(C579,"hh")&amp;"h"</f>
        <v>17h</v>
      </c>
      <c r="E579" t="s">
        <v>9</v>
      </c>
      <c r="F579" t="str">
        <f>VLOOKUP(E579,dimensao_bairro!A:B,2,FALSE)</f>
        <v>Portão</v>
      </c>
      <c r="G579" t="s">
        <v>12</v>
      </c>
      <c r="H579" s="5">
        <v>7</v>
      </c>
      <c r="I579" s="5">
        <v>1.8</v>
      </c>
      <c r="J579" t="str">
        <f t="shared" ref="J579:J590" si="28">IF(I579&lt;=2,"Curta",IF(I579&lt;=4,"Média","Longa"))</f>
        <v>Curta</v>
      </c>
      <c r="M579" t="str">
        <f>VLOOKUP(E579,dimensao_bairro!A:B,2,FALSE)</f>
        <v>Portão</v>
      </c>
      <c r="O579" t="str">
        <f>INDEX(dimensao_bairro!B:B,MATCH(tabela_origem!E579,dimensao_bairro!A:A,0))</f>
        <v>Portão</v>
      </c>
      <c r="P579" t="str">
        <f t="shared" ref="P579:P590" si="29">IF(H579&lt;7,"BAIXO",IF(H579&lt;=10,"MÉDIO","ALTO"))</f>
        <v>MÉDIO</v>
      </c>
    </row>
    <row r="580" spans="1:16" x14ac:dyDescent="0.25">
      <c r="A580" s="1">
        <v>46108</v>
      </c>
      <c r="B580" t="s">
        <v>7</v>
      </c>
      <c r="C580" s="2">
        <v>0.69513888888888886</v>
      </c>
      <c r="D580" s="2" t="str">
        <f t="shared" si="27"/>
        <v>16h</v>
      </c>
      <c r="E580" t="s">
        <v>38</v>
      </c>
      <c r="F580" t="str">
        <f>VLOOKUP(E580,dimensao_bairro!A:B,2,FALSE)</f>
        <v>Matriz</v>
      </c>
      <c r="G580" t="s">
        <v>26</v>
      </c>
      <c r="H580" s="5">
        <v>6.8</v>
      </c>
      <c r="I580" s="5">
        <v>2.4</v>
      </c>
      <c r="J580" t="str">
        <f t="shared" si="28"/>
        <v>Média</v>
      </c>
      <c r="M580" t="str">
        <f>VLOOKUP(E580,dimensao_bairro!A:B,2,FALSE)</f>
        <v>Matriz</v>
      </c>
      <c r="O580" t="str">
        <f>INDEX(dimensao_bairro!B:B,MATCH(tabela_origem!E580,dimensao_bairro!A:A,0))</f>
        <v>Matriz</v>
      </c>
      <c r="P580" t="str">
        <f t="shared" si="29"/>
        <v>BAIXO</v>
      </c>
    </row>
    <row r="581" spans="1:16" x14ac:dyDescent="0.25">
      <c r="A581" s="1">
        <v>46108</v>
      </c>
      <c r="B581" t="s">
        <v>7</v>
      </c>
      <c r="C581" s="2">
        <v>0.77638888888888891</v>
      </c>
      <c r="D581" s="2" t="str">
        <f t="shared" si="27"/>
        <v>18h</v>
      </c>
      <c r="E581" t="s">
        <v>13</v>
      </c>
      <c r="F581" t="str">
        <f>VLOOKUP(E581,dimensao_bairro!A:B,2,FALSE)</f>
        <v>Matriz</v>
      </c>
      <c r="G581" t="s">
        <v>8</v>
      </c>
      <c r="H581" s="5">
        <v>6.8</v>
      </c>
      <c r="I581" s="5">
        <v>2.2000000000000002</v>
      </c>
      <c r="J581" t="str">
        <f t="shared" si="28"/>
        <v>Média</v>
      </c>
      <c r="M581" t="str">
        <f>VLOOKUP(E581,dimensao_bairro!A:B,2,FALSE)</f>
        <v>Matriz</v>
      </c>
      <c r="O581" t="str">
        <f>INDEX(dimensao_bairro!B:B,MATCH(tabela_origem!E581,dimensao_bairro!A:A,0))</f>
        <v>Matriz</v>
      </c>
      <c r="P581" t="str">
        <f t="shared" si="29"/>
        <v>BAIXO</v>
      </c>
    </row>
    <row r="582" spans="1:16" x14ac:dyDescent="0.25">
      <c r="A582" s="1">
        <v>46108</v>
      </c>
      <c r="B582" t="s">
        <v>7</v>
      </c>
      <c r="C582" s="2">
        <v>0.65902777777777777</v>
      </c>
      <c r="D582" s="2" t="str">
        <f t="shared" si="27"/>
        <v>15h</v>
      </c>
      <c r="E582" t="s">
        <v>15</v>
      </c>
      <c r="F582" t="str">
        <f>VLOOKUP(E582,dimensao_bairro!A:B,2,FALSE)</f>
        <v>Boqueirão</v>
      </c>
      <c r="G582" t="s">
        <v>5</v>
      </c>
      <c r="H582" s="5">
        <v>6.7</v>
      </c>
      <c r="I582" s="5">
        <v>1.2</v>
      </c>
      <c r="J582" t="str">
        <f t="shared" si="28"/>
        <v>Curta</v>
      </c>
      <c r="M582" t="str">
        <f>VLOOKUP(E582,dimensao_bairro!A:B,2,FALSE)</f>
        <v>Boqueirão</v>
      </c>
      <c r="O582" t="str">
        <f>INDEX(dimensao_bairro!B:B,MATCH(tabela_origem!E582,dimensao_bairro!A:A,0))</f>
        <v>Boqueirão</v>
      </c>
      <c r="P582" t="str">
        <f t="shared" si="29"/>
        <v>BAIXO</v>
      </c>
    </row>
    <row r="583" spans="1:16" x14ac:dyDescent="0.25">
      <c r="A583" s="1">
        <v>46108</v>
      </c>
      <c r="B583" t="s">
        <v>7</v>
      </c>
      <c r="C583" s="2">
        <v>0.64166666666666672</v>
      </c>
      <c r="D583" s="2" t="str">
        <f t="shared" si="27"/>
        <v>15h</v>
      </c>
      <c r="E583" t="s">
        <v>36</v>
      </c>
      <c r="F583" t="str">
        <f>VLOOKUP(E583,dimensao_bairro!A:B,2,FALSE)</f>
        <v>Portão</v>
      </c>
      <c r="G583" t="s">
        <v>11</v>
      </c>
      <c r="H583" s="5">
        <v>6.6</v>
      </c>
      <c r="I583" s="5">
        <v>1.8</v>
      </c>
      <c r="J583" t="str">
        <f t="shared" si="28"/>
        <v>Curta</v>
      </c>
      <c r="M583" t="str">
        <f>VLOOKUP(E583,dimensao_bairro!A:B,2,FALSE)</f>
        <v>Portão</v>
      </c>
      <c r="O583" t="str">
        <f>INDEX(dimensao_bairro!B:B,MATCH(tabela_origem!E583,dimensao_bairro!A:A,0))</f>
        <v>Portão</v>
      </c>
      <c r="P583" t="str">
        <f t="shared" si="29"/>
        <v>BAIXO</v>
      </c>
    </row>
    <row r="584" spans="1:16" x14ac:dyDescent="0.25">
      <c r="A584" s="1">
        <v>46108</v>
      </c>
      <c r="B584" t="s">
        <v>7</v>
      </c>
      <c r="C584" s="2">
        <v>0.84513888888888899</v>
      </c>
      <c r="D584" s="2" t="str">
        <f t="shared" si="27"/>
        <v>20h</v>
      </c>
      <c r="E584" t="s">
        <v>8</v>
      </c>
      <c r="F584" t="str">
        <f>VLOOKUP(E584,dimensao_bairro!A:B,2,FALSE)</f>
        <v>Portão</v>
      </c>
      <c r="G584" t="s">
        <v>10</v>
      </c>
      <c r="H584" s="5">
        <v>6.6</v>
      </c>
      <c r="I584" s="5">
        <v>3.7</v>
      </c>
      <c r="J584" t="str">
        <f t="shared" si="28"/>
        <v>Média</v>
      </c>
      <c r="M584" t="str">
        <f>VLOOKUP(E584,dimensao_bairro!A:B,2,FALSE)</f>
        <v>Portão</v>
      </c>
      <c r="O584" t="str">
        <f>INDEX(dimensao_bairro!B:B,MATCH(tabela_origem!E584,dimensao_bairro!A:A,0))</f>
        <v>Portão</v>
      </c>
      <c r="P584" t="str">
        <f t="shared" si="29"/>
        <v>BAIXO</v>
      </c>
    </row>
    <row r="585" spans="1:16" x14ac:dyDescent="0.25">
      <c r="A585" s="1">
        <v>46108</v>
      </c>
      <c r="B585" t="s">
        <v>7</v>
      </c>
      <c r="C585" s="2">
        <v>0.68125000000000002</v>
      </c>
      <c r="D585" s="2" t="str">
        <f t="shared" si="27"/>
        <v>16h</v>
      </c>
      <c r="E585" t="s">
        <v>6</v>
      </c>
      <c r="F585" t="str">
        <f>VLOOKUP(E585,dimensao_bairro!A:B,2,FALSE)</f>
        <v>Portão</v>
      </c>
      <c r="G585" t="s">
        <v>9</v>
      </c>
      <c r="H585" s="5">
        <v>6.6</v>
      </c>
      <c r="I585" s="5">
        <v>1</v>
      </c>
      <c r="J585" t="str">
        <f t="shared" si="28"/>
        <v>Curta</v>
      </c>
      <c r="M585" t="str">
        <f>VLOOKUP(E585,dimensao_bairro!A:B,2,FALSE)</f>
        <v>Portão</v>
      </c>
      <c r="O585" t="str">
        <f>INDEX(dimensao_bairro!B:B,MATCH(tabela_origem!E585,dimensao_bairro!A:A,0))</f>
        <v>Portão</v>
      </c>
      <c r="P585" t="str">
        <f t="shared" si="29"/>
        <v>BAIXO</v>
      </c>
    </row>
    <row r="586" spans="1:16" x14ac:dyDescent="0.25">
      <c r="A586" s="1">
        <v>46108</v>
      </c>
      <c r="B586" t="s">
        <v>7</v>
      </c>
      <c r="C586" s="2">
        <v>0.63541666666666663</v>
      </c>
      <c r="D586" s="2" t="str">
        <f t="shared" si="27"/>
        <v>15h</v>
      </c>
      <c r="E586" t="s">
        <v>36</v>
      </c>
      <c r="F586" t="str">
        <f>VLOOKUP(E586,dimensao_bairro!A:B,2,FALSE)</f>
        <v>Portão</v>
      </c>
      <c r="G586" t="s">
        <v>15</v>
      </c>
      <c r="H586" s="5">
        <v>6.5</v>
      </c>
      <c r="I586" s="5">
        <v>1</v>
      </c>
      <c r="J586" t="str">
        <f t="shared" si="28"/>
        <v>Curta</v>
      </c>
      <c r="M586" t="str">
        <f>VLOOKUP(E586,dimensao_bairro!A:B,2,FALSE)</f>
        <v>Portão</v>
      </c>
      <c r="O586" t="str">
        <f>INDEX(dimensao_bairro!B:B,MATCH(tabela_origem!E586,dimensao_bairro!A:A,0))</f>
        <v>Portão</v>
      </c>
      <c r="P586" t="str">
        <f t="shared" si="29"/>
        <v>BAIXO</v>
      </c>
    </row>
    <row r="587" spans="1:16" x14ac:dyDescent="0.25">
      <c r="A587" s="1">
        <v>46108</v>
      </c>
      <c r="B587" t="s">
        <v>7</v>
      </c>
      <c r="C587" s="2">
        <v>0.82916666666666661</v>
      </c>
      <c r="D587" s="2" t="str">
        <f t="shared" si="27"/>
        <v>19h</v>
      </c>
      <c r="E587" t="s">
        <v>9</v>
      </c>
      <c r="F587" t="str">
        <f>VLOOKUP(E587,dimensao_bairro!A:B,2,FALSE)</f>
        <v>Portão</v>
      </c>
      <c r="G587" t="s">
        <v>17</v>
      </c>
      <c r="H587" s="5">
        <v>6.5</v>
      </c>
      <c r="I587" s="5">
        <v>2.1</v>
      </c>
      <c r="J587" t="str">
        <f t="shared" si="28"/>
        <v>Média</v>
      </c>
      <c r="M587" t="str">
        <f>VLOOKUP(E587,dimensao_bairro!A:B,2,FALSE)</f>
        <v>Portão</v>
      </c>
      <c r="O587" t="str">
        <f>INDEX(dimensao_bairro!B:B,MATCH(tabela_origem!E587,dimensao_bairro!A:A,0))</f>
        <v>Portão</v>
      </c>
      <c r="P587" t="str">
        <f t="shared" si="29"/>
        <v>BAIXO</v>
      </c>
    </row>
    <row r="588" spans="1:16" x14ac:dyDescent="0.25">
      <c r="A588" s="1">
        <v>46108</v>
      </c>
      <c r="B588" t="s">
        <v>7</v>
      </c>
      <c r="C588" s="2">
        <v>0.8222222222222223</v>
      </c>
      <c r="D588" s="2" t="str">
        <f t="shared" si="27"/>
        <v>19h</v>
      </c>
      <c r="E588" t="s">
        <v>8</v>
      </c>
      <c r="F588" t="str">
        <f>VLOOKUP(E588,dimensao_bairro!A:B,2,FALSE)</f>
        <v>Portão</v>
      </c>
      <c r="G588" t="s">
        <v>10</v>
      </c>
      <c r="H588" s="5">
        <v>6.5</v>
      </c>
      <c r="I588" s="5">
        <v>3.2</v>
      </c>
      <c r="J588" t="str">
        <f t="shared" si="28"/>
        <v>Média</v>
      </c>
      <c r="M588" t="str">
        <f>VLOOKUP(E588,dimensao_bairro!A:B,2,FALSE)</f>
        <v>Portão</v>
      </c>
      <c r="O588" t="str">
        <f>INDEX(dimensao_bairro!B:B,MATCH(tabela_origem!E588,dimensao_bairro!A:A,0))</f>
        <v>Portão</v>
      </c>
      <c r="P588" t="str">
        <f t="shared" si="29"/>
        <v>BAIXO</v>
      </c>
    </row>
    <row r="589" spans="1:16" x14ac:dyDescent="0.25">
      <c r="A589" s="1">
        <v>46108</v>
      </c>
      <c r="B589" t="s">
        <v>7</v>
      </c>
      <c r="C589" s="2">
        <v>0.66666666666666663</v>
      </c>
      <c r="D589" s="2" t="str">
        <f t="shared" si="27"/>
        <v>16h</v>
      </c>
      <c r="E589" t="s">
        <v>9</v>
      </c>
      <c r="F589" t="str">
        <f>VLOOKUP(E589,dimensao_bairro!A:B,2,FALSE)</f>
        <v>Portão</v>
      </c>
      <c r="G589" t="s">
        <v>20</v>
      </c>
      <c r="H589" s="5">
        <v>6.5</v>
      </c>
      <c r="I589" s="5">
        <v>1.4</v>
      </c>
      <c r="J589" t="str">
        <f t="shared" si="28"/>
        <v>Curta</v>
      </c>
      <c r="M589" t="str">
        <f>VLOOKUP(E589,dimensao_bairro!A:B,2,FALSE)</f>
        <v>Portão</v>
      </c>
      <c r="O589" t="str">
        <f>INDEX(dimensao_bairro!B:B,MATCH(tabela_origem!E589,dimensao_bairro!A:A,0))</f>
        <v>Portão</v>
      </c>
      <c r="P589" t="str">
        <f t="shared" si="29"/>
        <v>BAIXO</v>
      </c>
    </row>
    <row r="590" spans="1:16" x14ac:dyDescent="0.25">
      <c r="A590" s="1">
        <v>46108</v>
      </c>
      <c r="B590" t="s">
        <v>7</v>
      </c>
      <c r="C590" s="2">
        <v>0.62847222222222221</v>
      </c>
      <c r="D590" s="2" t="str">
        <f t="shared" si="27"/>
        <v>15h</v>
      </c>
      <c r="E590" t="s">
        <v>9</v>
      </c>
      <c r="F590" t="str">
        <f>VLOOKUP(E590,dimensao_bairro!A:B,2,FALSE)</f>
        <v>Portão</v>
      </c>
      <c r="H590" s="5">
        <v>6.5</v>
      </c>
      <c r="I590" s="5">
        <v>1.5</v>
      </c>
      <c r="J590" t="str">
        <f t="shared" si="28"/>
        <v>Curta</v>
      </c>
      <c r="M590" t="str">
        <f>VLOOKUP(E590,dimensao_bairro!A:B,2,FALSE)</f>
        <v>Portão</v>
      </c>
      <c r="O590" t="str">
        <f>INDEX(dimensao_bairro!B:B,MATCH(tabela_origem!E590,dimensao_bairro!A:A,0))</f>
        <v>Portão</v>
      </c>
      <c r="P590" t="str">
        <f t="shared" si="29"/>
        <v>BAIXO</v>
      </c>
    </row>
    <row r="591" spans="1:16" x14ac:dyDescent="0.25">
      <c r="E591" t="s">
        <v>6</v>
      </c>
      <c r="F591" t="str">
        <f>VLOOKUP(E591,dimensao_bairro!A:B,2,FALSE)</f>
        <v>Portão</v>
      </c>
    </row>
    <row r="592" spans="1:16" x14ac:dyDescent="0.25">
      <c r="E592" t="s">
        <v>9</v>
      </c>
      <c r="F592" t="str">
        <f>VLOOKUP(E592,dimensao_bairro!A:B,2,FALSE)</f>
        <v>Portão</v>
      </c>
    </row>
    <row r="593" spans="5:6" x14ac:dyDescent="0.25">
      <c r="E593" t="s">
        <v>5</v>
      </c>
      <c r="F593" t="str">
        <f>VLOOKUP(E593,dimensao_bairro!A:B,2,FALSE)</f>
        <v>Portão</v>
      </c>
    </row>
    <row r="594" spans="5:6" x14ac:dyDescent="0.25">
      <c r="E594" t="s">
        <v>9</v>
      </c>
      <c r="F594" t="str">
        <f>VLOOKUP(E594,dimensao_bairro!A:B,2,FALSE)</f>
        <v>Portão</v>
      </c>
    </row>
    <row r="595" spans="5:6" x14ac:dyDescent="0.25">
      <c r="E595" t="s">
        <v>9</v>
      </c>
      <c r="F595" t="str">
        <f>VLOOKUP(E595,dimensao_bairro!A:B,2,FALSE)</f>
        <v>Portão</v>
      </c>
    </row>
    <row r="596" spans="5:6" x14ac:dyDescent="0.25">
      <c r="E596" t="s">
        <v>9</v>
      </c>
      <c r="F596" t="str">
        <f>VLOOKUP(E596,dimensao_bairro!A:B,2,FALSE)</f>
        <v>Portão</v>
      </c>
    </row>
    <row r="597" spans="5:6" x14ac:dyDescent="0.25">
      <c r="E597" t="s">
        <v>9</v>
      </c>
      <c r="F597" t="str">
        <f>VLOOKUP(E597,dimensao_bairro!A:B,2,FALSE)</f>
        <v>Portão</v>
      </c>
    </row>
    <row r="598" spans="5:6" x14ac:dyDescent="0.25">
      <c r="E598" t="s">
        <v>9</v>
      </c>
      <c r="F598" t="str">
        <f>VLOOKUP(E598,dimensao_bairro!A:B,2,FALSE)</f>
        <v>Portão</v>
      </c>
    </row>
    <row r="599" spans="5:6" x14ac:dyDescent="0.25">
      <c r="E599" t="s">
        <v>9</v>
      </c>
      <c r="F599" t="str">
        <f>VLOOKUP(E599,dimensao_bairro!A:B,2,FALSE)</f>
        <v>Portão</v>
      </c>
    </row>
    <row r="600" spans="5:6" x14ac:dyDescent="0.25">
      <c r="E600" t="s">
        <v>27</v>
      </c>
      <c r="F600" t="str">
        <f>VLOOKUP(E600,dimensao_bairro!A:B,2,FALSE)</f>
        <v>Pinheirinho</v>
      </c>
    </row>
    <row r="601" spans="5:6" x14ac:dyDescent="0.25">
      <c r="E601" t="s">
        <v>27</v>
      </c>
      <c r="F601" t="str">
        <f>VLOOKUP(E601,dimensao_bairro!A:B,2,FALSE)</f>
        <v>Pinheirinho</v>
      </c>
    </row>
    <row r="602" spans="5:6" x14ac:dyDescent="0.25">
      <c r="E602" t="s">
        <v>20</v>
      </c>
      <c r="F602" t="str">
        <f>VLOOKUP(E602,dimensao_bairro!A:B,2,FALSE)</f>
        <v>Matriz</v>
      </c>
    </row>
    <row r="603" spans="5:6" x14ac:dyDescent="0.25">
      <c r="E603" t="s">
        <v>13</v>
      </c>
      <c r="F603" t="str">
        <f>VLOOKUP(E603,dimensao_bairro!A:B,2,FALSE)</f>
        <v>Matriz</v>
      </c>
    </row>
    <row r="604" spans="5:6" x14ac:dyDescent="0.25">
      <c r="E604" t="s">
        <v>9</v>
      </c>
      <c r="F604" t="str">
        <f>VLOOKUP(E604,dimensao_bairro!A:B,2,FALSE)</f>
        <v>Portão</v>
      </c>
    </row>
    <row r="605" spans="5:6" x14ac:dyDescent="0.25">
      <c r="E605" t="s">
        <v>13</v>
      </c>
      <c r="F605" t="str">
        <f>VLOOKUP(E605,dimensao_bairro!A:B,2,FALSE)</f>
        <v>Matriz</v>
      </c>
    </row>
    <row r="606" spans="5:6" x14ac:dyDescent="0.25">
      <c r="E606" t="s">
        <v>15</v>
      </c>
      <c r="F606" t="str">
        <f>VLOOKUP(E606,dimensao_bairro!A:B,2,FALSE)</f>
        <v>Boqueirão</v>
      </c>
    </row>
    <row r="607" spans="5:6" x14ac:dyDescent="0.25">
      <c r="E607" t="s">
        <v>11</v>
      </c>
      <c r="F607" t="str">
        <f>VLOOKUP(E607,dimensao_bairro!A:B,2,FALSE)</f>
        <v>Boqueirão</v>
      </c>
    </row>
    <row r="608" spans="5:6" x14ac:dyDescent="0.25">
      <c r="E608" t="s">
        <v>15</v>
      </c>
      <c r="F608" t="str">
        <f>VLOOKUP(E608,dimensao_bairro!A:B,2,FALSE)</f>
        <v>Boqueirão</v>
      </c>
    </row>
    <row r="609" spans="5:6" x14ac:dyDescent="0.25">
      <c r="E609" t="s">
        <v>11</v>
      </c>
      <c r="F609" t="str">
        <f>VLOOKUP(E609,dimensao_bairro!A:B,2,FALSE)</f>
        <v>Boqueirão</v>
      </c>
    </row>
    <row r="610" spans="5:6" x14ac:dyDescent="0.25">
      <c r="E610" t="s">
        <v>15</v>
      </c>
      <c r="F610" t="str">
        <f>VLOOKUP(E610,dimensao_bairro!A:B,2,FALSE)</f>
        <v>Boqueirão</v>
      </c>
    </row>
    <row r="611" spans="5:6" x14ac:dyDescent="0.25">
      <c r="E611" t="s">
        <v>11</v>
      </c>
      <c r="F611" t="str">
        <f>VLOOKUP(E611,dimensao_bairro!A:B,2,FALSE)</f>
        <v>Boqueirão</v>
      </c>
    </row>
    <row r="612" spans="5:6" x14ac:dyDescent="0.25">
      <c r="E612" t="s">
        <v>11</v>
      </c>
      <c r="F612" t="str">
        <f>VLOOKUP(E612,dimensao_bairro!A:B,2,FALSE)</f>
        <v>Boqueirão</v>
      </c>
    </row>
    <row r="613" spans="5:6" x14ac:dyDescent="0.25">
      <c r="E613" t="s">
        <v>5</v>
      </c>
      <c r="F613" t="str">
        <f>VLOOKUP(E613,dimensao_bairro!A:B,2,FALSE)</f>
        <v>Portão</v>
      </c>
    </row>
    <row r="614" spans="5:6" x14ac:dyDescent="0.25">
      <c r="E614" t="s">
        <v>10</v>
      </c>
      <c r="F614" t="str">
        <f>VLOOKUP(E614,dimensao_bairro!A:B,2,FALSE)</f>
        <v>Portão</v>
      </c>
    </row>
    <row r="615" spans="5:6" x14ac:dyDescent="0.25">
      <c r="E615" t="s">
        <v>36</v>
      </c>
      <c r="F615" t="str">
        <f>VLOOKUP(E615,dimensao_bairro!A:B,2,FALSE)</f>
        <v>Portão</v>
      </c>
    </row>
    <row r="616" spans="5:6" x14ac:dyDescent="0.25">
      <c r="E616" t="s">
        <v>5</v>
      </c>
      <c r="F616" t="str">
        <f>VLOOKUP(E616,dimensao_bairro!A:B,2,FALSE)</f>
        <v>Portão</v>
      </c>
    </row>
    <row r="617" spans="5:6" x14ac:dyDescent="0.25">
      <c r="E617" t="s">
        <v>5</v>
      </c>
      <c r="F617" t="str">
        <f>VLOOKUP(E617,dimensao_bairro!A:B,2,FALSE)</f>
        <v>Portão</v>
      </c>
    </row>
    <row r="618" spans="5:6" x14ac:dyDescent="0.25">
      <c r="E618" t="s">
        <v>26</v>
      </c>
      <c r="F618" t="str">
        <f>VLOOKUP(E618,dimensao_bairro!A:B,2,FALSE)</f>
        <v>Portão</v>
      </c>
    </row>
    <row r="619" spans="5:6" x14ac:dyDescent="0.25">
      <c r="E619" t="s">
        <v>50</v>
      </c>
      <c r="F619" t="str">
        <f>VLOOKUP(E619,dimensao_bairro!A:B,2,FALSE)</f>
        <v>Santa Felicidade</v>
      </c>
    </row>
    <row r="620" spans="5:6" x14ac:dyDescent="0.25">
      <c r="E620" t="s">
        <v>31</v>
      </c>
      <c r="F620" t="str">
        <f>VLOOKUP(E620,dimensao_bairro!A:B,2,FALSE)</f>
        <v>Portão</v>
      </c>
    </row>
    <row r="621" spans="5:6" x14ac:dyDescent="0.25">
      <c r="E621" t="s">
        <v>5</v>
      </c>
      <c r="F621" t="str">
        <f>VLOOKUP(E621,dimensao_bairro!A:B,2,FALSE)</f>
        <v>Portão</v>
      </c>
    </row>
    <row r="622" spans="5:6" x14ac:dyDescent="0.25">
      <c r="E622" t="s">
        <v>5</v>
      </c>
      <c r="F622" t="str">
        <f>VLOOKUP(E622,dimensao_bairro!A:B,2,FALSE)</f>
        <v>Portão</v>
      </c>
    </row>
    <row r="623" spans="5:6" x14ac:dyDescent="0.25">
      <c r="E623" t="s">
        <v>11</v>
      </c>
      <c r="F623" t="str">
        <f>VLOOKUP(E623,dimensao_bairro!A:B,2,FALSE)</f>
        <v>Boqueirão</v>
      </c>
    </row>
    <row r="624" spans="5:6" x14ac:dyDescent="0.25">
      <c r="E624" t="s">
        <v>11</v>
      </c>
      <c r="F624" t="str">
        <f>VLOOKUP(E624,dimensao_bairro!A:B,2,FALSE)</f>
        <v>Boqueirão</v>
      </c>
    </row>
    <row r="625" spans="5:6" x14ac:dyDescent="0.25">
      <c r="E625" t="s">
        <v>26</v>
      </c>
      <c r="F625" t="str">
        <f>VLOOKUP(E625,dimensao_bairro!A:B,2,FALSE)</f>
        <v>Portão</v>
      </c>
    </row>
    <row r="626" spans="5:6" x14ac:dyDescent="0.25">
      <c r="E626" t="s">
        <v>27</v>
      </c>
      <c r="F626" t="str">
        <f>VLOOKUP(E626,dimensao_bairro!A:B,2,FALSE)</f>
        <v>Pinheirinho</v>
      </c>
    </row>
    <row r="627" spans="5:6" x14ac:dyDescent="0.25">
      <c r="E627" t="s">
        <v>5</v>
      </c>
      <c r="F627" t="str">
        <f>VLOOKUP(E627,dimensao_bairro!A:B,2,FALSE)</f>
        <v>Portão</v>
      </c>
    </row>
    <row r="628" spans="5:6" x14ac:dyDescent="0.25">
      <c r="E628" t="s">
        <v>9</v>
      </c>
      <c r="F628" t="str">
        <f>VLOOKUP(E628,dimensao_bairro!A:B,2,FALSE)</f>
        <v>Portão</v>
      </c>
    </row>
    <row r="629" spans="5:6" x14ac:dyDescent="0.25">
      <c r="E629" t="s">
        <v>9</v>
      </c>
      <c r="F629" t="str">
        <f>VLOOKUP(E629,dimensao_bairro!A:B,2,FALSE)</f>
        <v>Portão</v>
      </c>
    </row>
    <row r="630" spans="5:6" x14ac:dyDescent="0.25">
      <c r="E630" t="s">
        <v>5</v>
      </c>
      <c r="F630" t="str">
        <f>VLOOKUP(E630,dimensao_bairro!A:B,2,FALSE)</f>
        <v>Portão</v>
      </c>
    </row>
    <row r="631" spans="5:6" x14ac:dyDescent="0.25">
      <c r="E631" t="s">
        <v>9</v>
      </c>
      <c r="F631" t="str">
        <f>VLOOKUP(E631,dimensao_bairro!A:B,2,FALSE)</f>
        <v>Portão</v>
      </c>
    </row>
    <row r="632" spans="5:6" x14ac:dyDescent="0.25">
      <c r="E632" t="s">
        <v>9</v>
      </c>
      <c r="F632" t="str">
        <f>VLOOKUP(E632,dimensao_bairro!A:B,2,FALSE)</f>
        <v>Portão</v>
      </c>
    </row>
    <row r="633" spans="5:6" x14ac:dyDescent="0.25">
      <c r="E633" t="s">
        <v>5</v>
      </c>
      <c r="F633" t="str">
        <f>VLOOKUP(E633,dimensao_bairro!A:B,2,FALSE)</f>
        <v>Portão</v>
      </c>
    </row>
    <row r="634" spans="5:6" x14ac:dyDescent="0.25">
      <c r="E634" t="s">
        <v>9</v>
      </c>
      <c r="F634" t="str">
        <f>VLOOKUP(E634,dimensao_bairro!A:B,2,FALSE)</f>
        <v>Portão</v>
      </c>
    </row>
    <row r="635" spans="5:6" x14ac:dyDescent="0.25">
      <c r="E635" t="s">
        <v>9</v>
      </c>
      <c r="F635" t="str">
        <f>VLOOKUP(E635,dimensao_bairro!A:B,2,FALSE)</f>
        <v>Portão</v>
      </c>
    </row>
    <row r="636" spans="5:6" x14ac:dyDescent="0.25">
      <c r="E636" t="s">
        <v>9</v>
      </c>
      <c r="F636" t="str">
        <f>VLOOKUP(E636,dimensao_bairro!A:B,2,FALSE)</f>
        <v>Portão</v>
      </c>
    </row>
    <row r="637" spans="5:6" x14ac:dyDescent="0.25">
      <c r="E637" t="s">
        <v>12</v>
      </c>
      <c r="F637" t="str">
        <f>VLOOKUP(E637,dimensao_bairro!A:B,2,FALSE)</f>
        <v>Portão</v>
      </c>
    </row>
    <row r="638" spans="5:6" x14ac:dyDescent="0.25">
      <c r="E638" t="s">
        <v>6</v>
      </c>
      <c r="F638" t="str">
        <f>VLOOKUP(E638,dimensao_bairro!A:B,2,FALSE)</f>
        <v>Portão</v>
      </c>
    </row>
    <row r="639" spans="5:6" x14ac:dyDescent="0.25">
      <c r="E639" t="s">
        <v>26</v>
      </c>
      <c r="F639" t="str">
        <f>VLOOKUP(E639,dimensao_bairro!A:B,2,FALSE)</f>
        <v>Portão</v>
      </c>
    </row>
    <row r="640" spans="5:6" x14ac:dyDescent="0.25">
      <c r="E640" t="s">
        <v>5</v>
      </c>
      <c r="F640" t="str">
        <f>VLOOKUP(E640,dimensao_bairro!A:B,2,FALSE)</f>
        <v>Portão</v>
      </c>
    </row>
    <row r="641" spans="5:6" x14ac:dyDescent="0.25">
      <c r="E641" t="s">
        <v>18</v>
      </c>
      <c r="F641" t="str">
        <f>VLOOKUP(E641,dimensao_bairro!A:B,2,FALSE)</f>
        <v>Matriz</v>
      </c>
    </row>
    <row r="642" spans="5:6" x14ac:dyDescent="0.25">
      <c r="E642" t="s">
        <v>13</v>
      </c>
      <c r="F642" t="str">
        <f>VLOOKUP(E642,dimensao_bairro!A:B,2,FALSE)</f>
        <v>Matriz</v>
      </c>
    </row>
    <row r="643" spans="5:6" x14ac:dyDescent="0.25">
      <c r="E643" t="s">
        <v>53</v>
      </c>
      <c r="F643" t="str">
        <f>VLOOKUP(E643,dimensao_bairro!A:B,2,FALSE)</f>
        <v>Matriz</v>
      </c>
    </row>
    <row r="644" spans="5:6" x14ac:dyDescent="0.25">
      <c r="E644" t="s">
        <v>9</v>
      </c>
      <c r="F644" t="str">
        <f>VLOOKUP(E644,dimensao_bairro!A:B,2,FALSE)</f>
        <v>Portão</v>
      </c>
    </row>
    <row r="645" spans="5:6" x14ac:dyDescent="0.25">
      <c r="E645" t="s">
        <v>13</v>
      </c>
      <c r="F645" t="str">
        <f>VLOOKUP(E645,dimensao_bairro!A:B,2,FALSE)</f>
        <v>Matriz</v>
      </c>
    </row>
    <row r="646" spans="5:6" x14ac:dyDescent="0.25">
      <c r="E646" t="s">
        <v>13</v>
      </c>
      <c r="F646" t="str">
        <f>VLOOKUP(E646,dimensao_bairro!A:B,2,FALSE)</f>
        <v>Matriz</v>
      </c>
    </row>
    <row r="647" spans="5:6" x14ac:dyDescent="0.25">
      <c r="E647" t="s">
        <v>5</v>
      </c>
      <c r="F647" t="str">
        <f>VLOOKUP(E647,dimensao_bairro!A:B,2,FALSE)</f>
        <v>Portão</v>
      </c>
    </row>
    <row r="648" spans="5:6" x14ac:dyDescent="0.25">
      <c r="E648" t="s">
        <v>45</v>
      </c>
      <c r="F648" t="str">
        <f>VLOOKUP(E648,dimensao_bairro!A:B,2,FALSE)</f>
        <v>Matriz</v>
      </c>
    </row>
    <row r="649" spans="5:6" x14ac:dyDescent="0.25">
      <c r="E649" t="s">
        <v>20</v>
      </c>
      <c r="F649" t="str">
        <f>VLOOKUP(E649,dimensao_bairro!A:B,2,FALSE)</f>
        <v>Matriz</v>
      </c>
    </row>
    <row r="650" spans="5:6" x14ac:dyDescent="0.25">
      <c r="E650" t="s">
        <v>5</v>
      </c>
      <c r="F650" t="str">
        <f>VLOOKUP(E650,dimensao_bairro!A:B,2,FALSE)</f>
        <v>Portão</v>
      </c>
    </row>
    <row r="651" spans="5:6" x14ac:dyDescent="0.25">
      <c r="E651" t="s">
        <v>44</v>
      </c>
      <c r="F651" t="str">
        <f>VLOOKUP(E651,dimensao_bairro!A:B,2,FALSE)</f>
        <v>Cajuru</v>
      </c>
    </row>
    <row r="652" spans="5:6" x14ac:dyDescent="0.25">
      <c r="E652" t="s">
        <v>13</v>
      </c>
      <c r="F652" t="str">
        <f>VLOOKUP(E652,dimensao_bairro!A:B,2,FALSE)</f>
        <v>Matriz</v>
      </c>
    </row>
    <row r="653" spans="5:6" x14ac:dyDescent="0.25">
      <c r="E653" t="s">
        <v>35</v>
      </c>
      <c r="F653" t="str">
        <f>VLOOKUP(E653,dimensao_bairro!A:B,2,FALSE)</f>
        <v>Matriz</v>
      </c>
    </row>
    <row r="654" spans="5:6" x14ac:dyDescent="0.25">
      <c r="E654" t="s">
        <v>9</v>
      </c>
      <c r="F654" t="str">
        <f>VLOOKUP(E654,dimensao_bairro!A:B,2,FALSE)</f>
        <v>Portão</v>
      </c>
    </row>
    <row r="655" spans="5:6" x14ac:dyDescent="0.25">
      <c r="E655" t="s">
        <v>53</v>
      </c>
      <c r="F655" t="str">
        <f>VLOOKUP(E655,dimensao_bairro!A:B,2,FALSE)</f>
        <v>Matriz</v>
      </c>
    </row>
    <row r="656" spans="5:6" x14ac:dyDescent="0.25">
      <c r="E656" t="s">
        <v>13</v>
      </c>
      <c r="F656" t="str">
        <f>VLOOKUP(E656,dimensao_bairro!A:B,2,FALSE)</f>
        <v>Matriz</v>
      </c>
    </row>
    <row r="657" spans="5:6" x14ac:dyDescent="0.25">
      <c r="E657" t="s">
        <v>26</v>
      </c>
      <c r="F657" t="str">
        <f>VLOOKUP(E657,dimensao_bairro!A:B,2,FALSE)</f>
        <v>Portão</v>
      </c>
    </row>
    <row r="658" spans="5:6" x14ac:dyDescent="0.25">
      <c r="E658" t="s">
        <v>26</v>
      </c>
      <c r="F658" t="str">
        <f>VLOOKUP(E658,dimensao_bairro!A:B,2,FALSE)</f>
        <v>Portão</v>
      </c>
    </row>
    <row r="659" spans="5:6" x14ac:dyDescent="0.25">
      <c r="E659" t="s">
        <v>6</v>
      </c>
      <c r="F659" t="str">
        <f>VLOOKUP(E659,dimensao_bairro!A:B,2,FALSE)</f>
        <v>Portão</v>
      </c>
    </row>
    <row r="660" spans="5:6" x14ac:dyDescent="0.25">
      <c r="E660" t="s">
        <v>6</v>
      </c>
      <c r="F660" t="str">
        <f>VLOOKUP(E660,dimensao_bairro!A:B,2,FALSE)</f>
        <v>Portão</v>
      </c>
    </row>
    <row r="661" spans="5:6" x14ac:dyDescent="0.25">
      <c r="E661" t="s">
        <v>6</v>
      </c>
      <c r="F661" t="str">
        <f>VLOOKUP(E661,dimensao_bairro!A:B,2,FALSE)</f>
        <v>Portão</v>
      </c>
    </row>
    <row r="662" spans="5:6" x14ac:dyDescent="0.25">
      <c r="E662" t="s">
        <v>5</v>
      </c>
      <c r="F662" t="str">
        <f>VLOOKUP(E662,dimensao_bairro!A:B,2,FALSE)</f>
        <v>Portão</v>
      </c>
    </row>
    <row r="663" spans="5:6" x14ac:dyDescent="0.25">
      <c r="E663" t="s">
        <v>9</v>
      </c>
      <c r="F663" t="str">
        <f>VLOOKUP(E663,dimensao_bairro!A:B,2,FALSE)</f>
        <v>Portão</v>
      </c>
    </row>
    <row r="664" spans="5:6" x14ac:dyDescent="0.25">
      <c r="E664" t="s">
        <v>9</v>
      </c>
      <c r="F664" t="str">
        <f>VLOOKUP(E664,dimensao_bairro!A:B,2,FALSE)</f>
        <v>Portão</v>
      </c>
    </row>
    <row r="665" spans="5:6" x14ac:dyDescent="0.25">
      <c r="E665" t="s">
        <v>9</v>
      </c>
      <c r="F665" t="str">
        <f>VLOOKUP(E665,dimensao_bairro!A:B,2,FALSE)</f>
        <v>Portão</v>
      </c>
    </row>
    <row r="666" spans="5:6" x14ac:dyDescent="0.25">
      <c r="E666" t="s">
        <v>28</v>
      </c>
      <c r="F666" t="str">
        <f>VLOOKUP(E666,dimensao_bairro!A:B,2,FALSE)</f>
        <v>CIC</v>
      </c>
    </row>
    <row r="667" spans="5:6" x14ac:dyDescent="0.25">
      <c r="E667" t="s">
        <v>5</v>
      </c>
      <c r="F667" t="str">
        <f>VLOOKUP(E667,dimensao_bairro!A:B,2,FALSE)</f>
        <v>Portão</v>
      </c>
    </row>
    <row r="668" spans="5:6" x14ac:dyDescent="0.25">
      <c r="E668" t="s">
        <v>12</v>
      </c>
      <c r="F668" t="str">
        <f>VLOOKUP(E668,dimensao_bairro!A:B,2,FALSE)</f>
        <v>Portão</v>
      </c>
    </row>
    <row r="669" spans="5:6" x14ac:dyDescent="0.25">
      <c r="E669" t="s">
        <v>26</v>
      </c>
      <c r="F669" t="str">
        <f>VLOOKUP(E669,dimensao_bairro!A:B,2,FALSE)</f>
        <v>Portão</v>
      </c>
    </row>
    <row r="670" spans="5:6" x14ac:dyDescent="0.25">
      <c r="E670" t="s">
        <v>9</v>
      </c>
      <c r="F670" t="str">
        <f>VLOOKUP(E670,dimensao_bairro!A:B,2,FALSE)</f>
        <v>Portão</v>
      </c>
    </row>
    <row r="671" spans="5:6" x14ac:dyDescent="0.25">
      <c r="E671" t="s">
        <v>26</v>
      </c>
      <c r="F671" t="str">
        <f>VLOOKUP(E671,dimensao_bairro!A:B,2,FALSE)</f>
        <v>Portão</v>
      </c>
    </row>
    <row r="672" spans="5:6" x14ac:dyDescent="0.25">
      <c r="E672" t="s">
        <v>29</v>
      </c>
      <c r="F672" t="str">
        <f>VLOOKUP(E672,dimensao_bairro!A:B,2,FALSE)</f>
        <v>Portão</v>
      </c>
    </row>
    <row r="673" spans="5:6" x14ac:dyDescent="0.25">
      <c r="E673" t="s">
        <v>27</v>
      </c>
      <c r="F673" t="str">
        <f>VLOOKUP(E673,dimensao_bairro!A:B,2,FALSE)</f>
        <v>Pinheirinho</v>
      </c>
    </row>
    <row r="674" spans="5:6" x14ac:dyDescent="0.25">
      <c r="E674" t="s">
        <v>26</v>
      </c>
      <c r="F674" t="str">
        <f>VLOOKUP(E674,dimensao_bairro!A:B,2,FALSE)</f>
        <v>Portão</v>
      </c>
    </row>
    <row r="675" spans="5:6" x14ac:dyDescent="0.25">
      <c r="E675" t="s">
        <v>10</v>
      </c>
      <c r="F675" t="str">
        <f>VLOOKUP(E675,dimensao_bairro!A:B,2,FALSE)</f>
        <v>Portão</v>
      </c>
    </row>
    <row r="676" spans="5:6" x14ac:dyDescent="0.25">
      <c r="E676" t="s">
        <v>26</v>
      </c>
      <c r="F676" t="str">
        <f>VLOOKUP(E676,dimensao_bairro!A:B,2,FALSE)</f>
        <v>Portão</v>
      </c>
    </row>
    <row r="677" spans="5:6" x14ac:dyDescent="0.25">
      <c r="E677" t="s">
        <v>26</v>
      </c>
      <c r="F677" t="str">
        <f>VLOOKUP(E677,dimensao_bairro!A:B,2,FALSE)</f>
        <v>Portão</v>
      </c>
    </row>
    <row r="678" spans="5:6" x14ac:dyDescent="0.25">
      <c r="E678" t="s">
        <v>20</v>
      </c>
      <c r="F678" t="str">
        <f>VLOOKUP(E678,dimensao_bairro!A:B,2,FALSE)</f>
        <v>Matriz</v>
      </c>
    </row>
    <row r="679" spans="5:6" x14ac:dyDescent="0.25">
      <c r="E679" t="s">
        <v>9</v>
      </c>
      <c r="F679" t="str">
        <f>VLOOKUP(E679,dimensao_bairro!A:B,2,FALSE)</f>
        <v>Portão</v>
      </c>
    </row>
    <row r="680" spans="5:6" x14ac:dyDescent="0.25">
      <c r="E680" t="s">
        <v>26</v>
      </c>
      <c r="F680" t="str">
        <f>VLOOKUP(E680,dimensao_bairro!A:B,2,FALSE)</f>
        <v>Portão</v>
      </c>
    </row>
    <row r="681" spans="5:6" x14ac:dyDescent="0.25">
      <c r="E681" t="s">
        <v>23</v>
      </c>
      <c r="F681" t="str">
        <f>VLOOKUP(E681,dimensao_bairro!A:B,2,FALSE)</f>
        <v>Boqueirão</v>
      </c>
    </row>
    <row r="682" spans="5:6" x14ac:dyDescent="0.25">
      <c r="E682" t="s">
        <v>24</v>
      </c>
      <c r="F682" t="str">
        <f>VLOOKUP(E682,dimensao_bairro!A:B,2,FALSE)</f>
        <v>Pinheirinho</v>
      </c>
    </row>
    <row r="683" spans="5:6" x14ac:dyDescent="0.25">
      <c r="E683" t="s">
        <v>23</v>
      </c>
      <c r="F683" t="str">
        <f>VLOOKUP(E683,dimensao_bairro!A:B,2,FALSE)</f>
        <v>Boqueirão</v>
      </c>
    </row>
    <row r="684" spans="5:6" x14ac:dyDescent="0.25">
      <c r="E684" t="s">
        <v>27</v>
      </c>
      <c r="F684" t="str">
        <f>VLOOKUP(E684,dimensao_bairro!A:B,2,FALSE)</f>
        <v>Pinheirinho</v>
      </c>
    </row>
    <row r="685" spans="5:6" x14ac:dyDescent="0.25">
      <c r="E685" t="s">
        <v>23</v>
      </c>
      <c r="F685" t="str">
        <f>VLOOKUP(E685,dimensao_bairro!A:B,2,FALSE)</f>
        <v>Boqueirão</v>
      </c>
    </row>
    <row r="686" spans="5:6" x14ac:dyDescent="0.25">
      <c r="E686" t="s">
        <v>24</v>
      </c>
      <c r="F686" t="str">
        <f>VLOOKUP(E686,dimensao_bairro!A:B,2,FALSE)</f>
        <v>Pinheirinho</v>
      </c>
    </row>
    <row r="687" spans="5:6" x14ac:dyDescent="0.25">
      <c r="E687" t="s">
        <v>24</v>
      </c>
      <c r="F687" t="str">
        <f>VLOOKUP(E687,dimensao_bairro!A:B,2,FALSE)</f>
        <v>Pinheirinho</v>
      </c>
    </row>
    <row r="688" spans="5:6" x14ac:dyDescent="0.25">
      <c r="E688" t="s">
        <v>17</v>
      </c>
      <c r="F688" t="str">
        <f>VLOOKUP(E688,dimensao_bairro!A:B,2,FALSE)</f>
        <v>Boqueirão</v>
      </c>
    </row>
    <row r="689" spans="5:6" x14ac:dyDescent="0.25">
      <c r="E689" t="s">
        <v>23</v>
      </c>
      <c r="F689" t="str">
        <f>VLOOKUP(E689,dimensao_bairro!A:B,2,FALSE)</f>
        <v>Boqueirão</v>
      </c>
    </row>
    <row r="690" spans="5:6" x14ac:dyDescent="0.25">
      <c r="E690" t="s">
        <v>16</v>
      </c>
      <c r="F690" t="str">
        <f>VLOOKUP(E690,dimensao_bairro!A:B,2,FALSE)</f>
        <v>Bairro Novo</v>
      </c>
    </row>
    <row r="691" spans="5:6" x14ac:dyDescent="0.25">
      <c r="E691" t="s">
        <v>15</v>
      </c>
      <c r="F691" t="str">
        <f>VLOOKUP(E691,dimensao_bairro!A:B,2,FALSE)</f>
        <v>Boqueirão</v>
      </c>
    </row>
    <row r="692" spans="5:6" x14ac:dyDescent="0.25">
      <c r="E692" t="s">
        <v>15</v>
      </c>
      <c r="F692" t="str">
        <f>VLOOKUP(E692,dimensao_bairro!A:B,2,FALSE)</f>
        <v>Boqueirão</v>
      </c>
    </row>
    <row r="693" spans="5:6" x14ac:dyDescent="0.25">
      <c r="E693" t="s">
        <v>11</v>
      </c>
      <c r="F693" t="str">
        <f>VLOOKUP(E693,dimensao_bairro!A:B,2,FALSE)</f>
        <v>Boqueirão</v>
      </c>
    </row>
    <row r="694" spans="5:6" x14ac:dyDescent="0.25">
      <c r="E694" t="s">
        <v>36</v>
      </c>
      <c r="F694" t="str">
        <f>VLOOKUP(E694,dimensao_bairro!A:B,2,FALSE)</f>
        <v>Portão</v>
      </c>
    </row>
    <row r="695" spans="5:6" x14ac:dyDescent="0.25">
      <c r="E695" t="s">
        <v>8</v>
      </c>
      <c r="F695" t="str">
        <f>VLOOKUP(E695,dimensao_bairro!A:B,2,FALSE)</f>
        <v>Portão</v>
      </c>
    </row>
    <row r="696" spans="5:6" x14ac:dyDescent="0.25">
      <c r="E696" t="s">
        <v>26</v>
      </c>
      <c r="F696" t="str">
        <f>VLOOKUP(E696,dimensao_bairro!A:B,2,FALSE)</f>
        <v>Portão</v>
      </c>
    </row>
    <row r="697" spans="5:6" x14ac:dyDescent="0.25">
      <c r="E697" t="s">
        <v>5</v>
      </c>
      <c r="F697" t="str">
        <f>VLOOKUP(E697,dimensao_bairro!A:B,2,FALSE)</f>
        <v>Portão</v>
      </c>
    </row>
    <row r="698" spans="5:6" x14ac:dyDescent="0.25">
      <c r="E698" t="s">
        <v>9</v>
      </c>
      <c r="F698" t="str">
        <f>VLOOKUP(E698,dimensao_bairro!A:B,2,FALSE)</f>
        <v>Portão</v>
      </c>
    </row>
    <row r="699" spans="5:6" x14ac:dyDescent="0.25">
      <c r="E699" t="s">
        <v>9</v>
      </c>
      <c r="F699" t="str">
        <f>VLOOKUP(E699,dimensao_bairro!A:B,2,FALSE)</f>
        <v>Portão</v>
      </c>
    </row>
    <row r="700" spans="5:6" x14ac:dyDescent="0.25">
      <c r="E700" t="s">
        <v>9</v>
      </c>
      <c r="F700" t="str">
        <f>VLOOKUP(E700,dimensao_bairro!A:B,2,FALSE)</f>
        <v>Portão</v>
      </c>
    </row>
    <row r="701" spans="5:6" x14ac:dyDescent="0.25">
      <c r="E701" t="s">
        <v>6</v>
      </c>
      <c r="F701" t="str">
        <f>VLOOKUP(E701,dimensao_bairro!A:B,2,FALSE)</f>
        <v>Portão</v>
      </c>
    </row>
    <row r="702" spans="5:6" x14ac:dyDescent="0.25">
      <c r="E702" t="s">
        <v>9</v>
      </c>
      <c r="F702" t="str">
        <f>VLOOKUP(E702,dimensao_bairro!A:B,2,FALSE)</f>
        <v>Portão</v>
      </c>
    </row>
    <row r="703" spans="5:6" x14ac:dyDescent="0.25">
      <c r="E703" t="s">
        <v>9</v>
      </c>
      <c r="F703" t="str">
        <f>VLOOKUP(E703,dimensao_bairro!A:B,2,FALSE)</f>
        <v>Portão</v>
      </c>
    </row>
    <row r="704" spans="5:6" x14ac:dyDescent="0.25">
      <c r="E704" t="s">
        <v>9</v>
      </c>
      <c r="F704" t="str">
        <f>VLOOKUP(E704,dimensao_bairro!A:B,2,FALSE)</f>
        <v>Portão</v>
      </c>
    </row>
    <row r="705" spans="5:6" x14ac:dyDescent="0.25">
      <c r="E705" t="s">
        <v>5</v>
      </c>
      <c r="F705" t="str">
        <f>VLOOKUP(E705,dimensao_bairro!A:B,2,FALSE)</f>
        <v>Portão</v>
      </c>
    </row>
    <row r="706" spans="5:6" x14ac:dyDescent="0.25">
      <c r="E706" t="s">
        <v>6</v>
      </c>
      <c r="F706" t="str">
        <f>VLOOKUP(E706,dimensao_bairro!A:B,2,FALSE)</f>
        <v>Portão</v>
      </c>
    </row>
    <row r="707" spans="5:6" x14ac:dyDescent="0.25">
      <c r="E707" t="s">
        <v>20</v>
      </c>
      <c r="F707" t="str">
        <f>VLOOKUP(E707,dimensao_bairro!A:B,2,FALSE)</f>
        <v>Matriz</v>
      </c>
    </row>
    <row r="708" spans="5:6" x14ac:dyDescent="0.25">
      <c r="E708" t="s">
        <v>8</v>
      </c>
      <c r="F708" t="str">
        <f>VLOOKUP(E708,dimensao_bairro!A:B,2,FALSE)</f>
        <v>Portão</v>
      </c>
    </row>
    <row r="709" spans="5:6" x14ac:dyDescent="0.25">
      <c r="E709" t="s">
        <v>26</v>
      </c>
      <c r="F709" t="str">
        <f>VLOOKUP(E709,dimensao_bairro!A:B,2,FALSE)</f>
        <v>Portão</v>
      </c>
    </row>
    <row r="710" spans="5:6" x14ac:dyDescent="0.25">
      <c r="E710" t="s">
        <v>10</v>
      </c>
      <c r="F710" t="str">
        <f>VLOOKUP(E710,dimensao_bairro!A:B,2,FALSE)</f>
        <v>Portão</v>
      </c>
    </row>
    <row r="711" spans="5:6" x14ac:dyDescent="0.25">
      <c r="E711" t="s">
        <v>27</v>
      </c>
      <c r="F711" t="str">
        <f>VLOOKUP(E711,dimensao_bairro!A:B,2,FALSE)</f>
        <v>Pinheirinho</v>
      </c>
    </row>
    <row r="712" spans="5:6" x14ac:dyDescent="0.25">
      <c r="E712" t="s">
        <v>5</v>
      </c>
      <c r="F712" t="str">
        <f>VLOOKUP(E712,dimensao_bairro!A:B,2,FALSE)</f>
        <v>Portão</v>
      </c>
    </row>
    <row r="713" spans="5:6" x14ac:dyDescent="0.25">
      <c r="E713" t="s">
        <v>13</v>
      </c>
      <c r="F713" t="str">
        <f>VLOOKUP(E713,dimensao_bairro!A:B,2,FALSE)</f>
        <v>Matriz</v>
      </c>
    </row>
    <row r="714" spans="5:6" x14ac:dyDescent="0.25">
      <c r="E714" t="s">
        <v>6</v>
      </c>
      <c r="F714" t="str">
        <f>VLOOKUP(E714,dimensao_bairro!A:B,2,FALSE)</f>
        <v>Portão</v>
      </c>
    </row>
    <row r="715" spans="5:6" x14ac:dyDescent="0.25">
      <c r="E715" t="s">
        <v>9</v>
      </c>
      <c r="F715" t="str">
        <f>VLOOKUP(E715,dimensao_bairro!A:B,2,FALSE)</f>
        <v>Portão</v>
      </c>
    </row>
    <row r="716" spans="5:6" x14ac:dyDescent="0.25">
      <c r="E716" t="s">
        <v>5</v>
      </c>
      <c r="F716" t="str">
        <f>VLOOKUP(E716,dimensao_bairro!A:B,2,FALSE)</f>
        <v>Portão</v>
      </c>
    </row>
    <row r="717" spans="5:6" x14ac:dyDescent="0.25">
      <c r="E717" t="s">
        <v>9</v>
      </c>
      <c r="F717" t="str">
        <f>VLOOKUP(E717,dimensao_bairro!A:B,2,FALSE)</f>
        <v>Portão</v>
      </c>
    </row>
    <row r="718" spans="5:6" x14ac:dyDescent="0.25">
      <c r="E718" t="s">
        <v>20</v>
      </c>
      <c r="F718" t="str">
        <f>VLOOKUP(E718,dimensao_bairro!A:B,2,FALSE)</f>
        <v>Matriz</v>
      </c>
    </row>
    <row r="719" spans="5:6" x14ac:dyDescent="0.25">
      <c r="E719" t="s">
        <v>36</v>
      </c>
      <c r="F719" t="str">
        <f>VLOOKUP(E719,dimensao_bairro!A:B,2,FALSE)</f>
        <v>Portão</v>
      </c>
    </row>
    <row r="720" spans="5:6" x14ac:dyDescent="0.25">
      <c r="E720" t="s">
        <v>9</v>
      </c>
      <c r="F720" t="str">
        <f>VLOOKUP(E720,dimensao_bairro!A:B,2,FALSE)</f>
        <v>Portão</v>
      </c>
    </row>
    <row r="721" spans="5:6" x14ac:dyDescent="0.25">
      <c r="E721" t="s">
        <v>6</v>
      </c>
      <c r="F721" t="str">
        <f>VLOOKUP(E721,dimensao_bairro!A:B,2,FALSE)</f>
        <v>Portão</v>
      </c>
    </row>
    <row r="722" spans="5:6" x14ac:dyDescent="0.25">
      <c r="E722" t="s">
        <v>10</v>
      </c>
      <c r="F722" t="str">
        <f>VLOOKUP(E722,dimensao_bairro!A:B,2,FALSE)</f>
        <v>Portão</v>
      </c>
    </row>
    <row r="723" spans="5:6" x14ac:dyDescent="0.25">
      <c r="E723" t="s">
        <v>9</v>
      </c>
      <c r="F723" t="str">
        <f>VLOOKUP(E723,dimensao_bairro!A:B,2,FALSE)</f>
        <v>Portão</v>
      </c>
    </row>
    <row r="724" spans="5:6" x14ac:dyDescent="0.25">
      <c r="E724" t="s">
        <v>34</v>
      </c>
      <c r="F724" t="str">
        <f>VLOOKUP(E724,dimensao_bairro!A:B,2,FALSE)</f>
        <v>Matriz</v>
      </c>
    </row>
    <row r="725" spans="5:6" x14ac:dyDescent="0.25">
      <c r="E725" t="s">
        <v>5</v>
      </c>
      <c r="F725" t="str">
        <f>VLOOKUP(E725,dimensao_bairro!A:B,2,FALSE)</f>
        <v>Portão</v>
      </c>
    </row>
    <row r="726" spans="5:6" x14ac:dyDescent="0.25">
      <c r="E726" t="s">
        <v>20</v>
      </c>
      <c r="F726" t="str">
        <f>VLOOKUP(E726,dimensao_bairro!A:B,2,FALSE)</f>
        <v>Matriz</v>
      </c>
    </row>
    <row r="727" spans="5:6" x14ac:dyDescent="0.25">
      <c r="E727" t="s">
        <v>9</v>
      </c>
      <c r="F727" t="str">
        <f>VLOOKUP(E727,dimensao_bairro!A:B,2,FALSE)</f>
        <v>Portão</v>
      </c>
    </row>
    <row r="728" spans="5:6" x14ac:dyDescent="0.25">
      <c r="E728" t="s">
        <v>9</v>
      </c>
      <c r="F728" t="str">
        <f>VLOOKUP(E728,dimensao_bairro!A:B,2,FALSE)</f>
        <v>Portão</v>
      </c>
    </row>
    <row r="729" spans="5:6" x14ac:dyDescent="0.25">
      <c r="E729" t="s">
        <v>5</v>
      </c>
      <c r="F729" t="str">
        <f>VLOOKUP(E729,dimensao_bairro!A:B,2,FALSE)</f>
        <v>Portão</v>
      </c>
    </row>
    <row r="730" spans="5:6" x14ac:dyDescent="0.25">
      <c r="E730" t="s">
        <v>20</v>
      </c>
      <c r="F730" t="str">
        <f>VLOOKUP(E730,dimensao_bairro!A:B,2,FALSE)</f>
        <v>Matriz</v>
      </c>
    </row>
    <row r="731" spans="5:6" x14ac:dyDescent="0.25">
      <c r="E731" t="s">
        <v>20</v>
      </c>
      <c r="F731" t="str">
        <f>VLOOKUP(E731,dimensao_bairro!A:B,2,FALSE)</f>
        <v>Matriz</v>
      </c>
    </row>
    <row r="732" spans="5:6" x14ac:dyDescent="0.25">
      <c r="E732" t="s">
        <v>12</v>
      </c>
      <c r="F732" t="str">
        <f>VLOOKUP(E732,dimensao_bairro!A:B,2,FALSE)</f>
        <v>Portão</v>
      </c>
    </row>
    <row r="733" spans="5:6" x14ac:dyDescent="0.25">
      <c r="E733" t="s">
        <v>9</v>
      </c>
      <c r="F733" t="str">
        <f>VLOOKUP(E733,dimensao_bairro!A:B,2,FALSE)</f>
        <v>Portão</v>
      </c>
    </row>
    <row r="734" spans="5:6" x14ac:dyDescent="0.25">
      <c r="E734" t="s">
        <v>10</v>
      </c>
      <c r="F734" t="str">
        <f>VLOOKUP(E734,dimensao_bairro!A:B,2,FALSE)</f>
        <v>Portão</v>
      </c>
    </row>
    <row r="735" spans="5:6" x14ac:dyDescent="0.25">
      <c r="E735" t="s">
        <v>8</v>
      </c>
      <c r="F735" t="str">
        <f>VLOOKUP(E735,dimensao_bairro!A:B,2,FALSE)</f>
        <v>Portão</v>
      </c>
    </row>
    <row r="736" spans="5:6" x14ac:dyDescent="0.25">
      <c r="E736" t="s">
        <v>20</v>
      </c>
      <c r="F736" t="str">
        <f>VLOOKUP(E736,dimensao_bairro!A:B,2,FALSE)</f>
        <v>Matriz</v>
      </c>
    </row>
    <row r="737" spans="5:6" x14ac:dyDescent="0.25">
      <c r="E737" t="s">
        <v>13</v>
      </c>
      <c r="F737" t="str">
        <f>VLOOKUP(E737,dimensao_bairro!A:B,2,FALSE)</f>
        <v>Matriz</v>
      </c>
    </row>
    <row r="738" spans="5:6" x14ac:dyDescent="0.25">
      <c r="E738" t="s">
        <v>11</v>
      </c>
      <c r="F738" t="str">
        <f>VLOOKUP(E738,dimensao_bairro!A:B,2,FALSE)</f>
        <v>Boqueirão</v>
      </c>
    </row>
    <row r="739" spans="5:6" x14ac:dyDescent="0.25">
      <c r="E739" t="s">
        <v>6</v>
      </c>
      <c r="F739" t="str">
        <f>VLOOKUP(E739,dimensao_bairro!A:B,2,FALSE)</f>
        <v>Portão</v>
      </c>
    </row>
    <row r="740" spans="5:6" x14ac:dyDescent="0.25">
      <c r="E740" t="s">
        <v>29</v>
      </c>
      <c r="F740" t="str">
        <f>VLOOKUP(E740,dimensao_bairro!A:B,2,FALSE)</f>
        <v>Portão</v>
      </c>
    </row>
    <row r="741" spans="5:6" x14ac:dyDescent="0.25">
      <c r="E741" t="s">
        <v>8</v>
      </c>
      <c r="F741" t="str">
        <f>VLOOKUP(E741,dimensao_bairro!A:B,2,FALSE)</f>
        <v>Portão</v>
      </c>
    </row>
    <row r="742" spans="5:6" x14ac:dyDescent="0.25">
      <c r="E742" t="s">
        <v>9</v>
      </c>
      <c r="F742" t="str">
        <f>VLOOKUP(E742,dimensao_bairro!A:B,2,FALSE)</f>
        <v>Portão</v>
      </c>
    </row>
    <row r="743" spans="5:6" x14ac:dyDescent="0.25">
      <c r="E743" t="s">
        <v>6</v>
      </c>
      <c r="F743" t="str">
        <f>VLOOKUP(E743,dimensao_bairro!A:B,2,FALSE)</f>
        <v>Portão</v>
      </c>
    </row>
    <row r="744" spans="5:6" x14ac:dyDescent="0.25">
      <c r="E744" t="s">
        <v>29</v>
      </c>
      <c r="F744" t="str">
        <f>VLOOKUP(E744,dimensao_bairro!A:B,2,FALSE)</f>
        <v>Portão</v>
      </c>
    </row>
    <row r="745" spans="5:6" x14ac:dyDescent="0.25">
      <c r="E745" t="s">
        <v>9</v>
      </c>
      <c r="F745" t="str">
        <f>VLOOKUP(E745,dimensao_bairro!A:B,2,FALSE)</f>
        <v>Portão</v>
      </c>
    </row>
    <row r="746" spans="5:6" x14ac:dyDescent="0.25">
      <c r="E746" t="s">
        <v>9</v>
      </c>
      <c r="F746" t="str">
        <f>VLOOKUP(E746,dimensao_bairro!A:B,2,FALSE)</f>
        <v>Portão</v>
      </c>
    </row>
    <row r="747" spans="5:6" x14ac:dyDescent="0.25">
      <c r="E747" t="s">
        <v>9</v>
      </c>
      <c r="F747" t="str">
        <f>VLOOKUP(E747,dimensao_bairro!A:B,2,FALSE)</f>
        <v>Portão</v>
      </c>
    </row>
    <row r="748" spans="5:6" x14ac:dyDescent="0.25">
      <c r="E748" t="s">
        <v>9</v>
      </c>
      <c r="F748" t="str">
        <f>VLOOKUP(E748,dimensao_bairro!A:B,2,FALSE)</f>
        <v>Portão</v>
      </c>
    </row>
    <row r="749" spans="5:6" x14ac:dyDescent="0.25">
      <c r="E749" t="s">
        <v>9</v>
      </c>
      <c r="F749" t="str">
        <f>VLOOKUP(E749,dimensao_bairro!A:B,2,FALSE)</f>
        <v>Portão</v>
      </c>
    </row>
    <row r="750" spans="5:6" x14ac:dyDescent="0.25">
      <c r="E750" t="s">
        <v>9</v>
      </c>
      <c r="F750" t="str">
        <f>VLOOKUP(E750,dimensao_bairro!A:B,2,FALSE)</f>
        <v>Portão</v>
      </c>
    </row>
    <row r="751" spans="5:6" x14ac:dyDescent="0.25">
      <c r="E751" t="s">
        <v>26</v>
      </c>
      <c r="F751" t="str">
        <f>VLOOKUP(E751,dimensao_bairro!A:B,2,FALSE)</f>
        <v>Portão</v>
      </c>
    </row>
    <row r="752" spans="5:6" x14ac:dyDescent="0.25">
      <c r="E752" t="s">
        <v>15</v>
      </c>
      <c r="F752" t="str">
        <f>VLOOKUP(E752,dimensao_bairro!A:B,2,FALSE)</f>
        <v>Boqueirão</v>
      </c>
    </row>
    <row r="753" spans="5:6" x14ac:dyDescent="0.25">
      <c r="E753" t="s">
        <v>15</v>
      </c>
      <c r="F753" t="str">
        <f>VLOOKUP(E753,dimensao_bairro!A:B,2,FALSE)</f>
        <v>Boqueirão</v>
      </c>
    </row>
    <row r="754" spans="5:6" x14ac:dyDescent="0.25">
      <c r="E754" t="s">
        <v>26</v>
      </c>
      <c r="F754" t="str">
        <f>VLOOKUP(E754,dimensao_bairro!A:B,2,FALSE)</f>
        <v>Portão</v>
      </c>
    </row>
    <row r="755" spans="5:6" x14ac:dyDescent="0.25">
      <c r="E755" t="s">
        <v>5</v>
      </c>
      <c r="F755" t="str">
        <f>VLOOKUP(E755,dimensao_bairro!A:B,2,FALSE)</f>
        <v>Portão</v>
      </c>
    </row>
    <row r="756" spans="5:6" x14ac:dyDescent="0.25">
      <c r="E756" t="s">
        <v>11</v>
      </c>
      <c r="F756" t="str">
        <f>VLOOKUP(E756,dimensao_bairro!A:B,2,FALSE)</f>
        <v>Boqueirão</v>
      </c>
    </row>
    <row r="757" spans="5:6" x14ac:dyDescent="0.25">
      <c r="E757" t="s">
        <v>11</v>
      </c>
      <c r="F757" t="str">
        <f>VLOOKUP(E757,dimensao_bairro!A:B,2,FALSE)</f>
        <v>Boqueirão</v>
      </c>
    </row>
    <row r="758" spans="5:6" x14ac:dyDescent="0.25">
      <c r="E758" t="s">
        <v>11</v>
      </c>
      <c r="F758" t="str">
        <f>VLOOKUP(E758,dimensao_bairro!A:B,2,FALSE)</f>
        <v>Boqueirão</v>
      </c>
    </row>
    <row r="759" spans="5:6" x14ac:dyDescent="0.25">
      <c r="E759" t="s">
        <v>8</v>
      </c>
      <c r="F759" t="str">
        <f>VLOOKUP(E759,dimensao_bairro!A:B,2,FALSE)</f>
        <v>Portão</v>
      </c>
    </row>
    <row r="760" spans="5:6" x14ac:dyDescent="0.25">
      <c r="E760" t="s">
        <v>23</v>
      </c>
      <c r="F760" t="str">
        <f>VLOOKUP(E760,dimensao_bairro!A:B,2,FALSE)</f>
        <v>Boqueirão</v>
      </c>
    </row>
    <row r="761" spans="5:6" x14ac:dyDescent="0.25">
      <c r="E761" t="s">
        <v>15</v>
      </c>
      <c r="F761" t="str">
        <f>VLOOKUP(E761,dimensao_bairro!A:B,2,FALSE)</f>
        <v>Boqueirão</v>
      </c>
    </row>
    <row r="762" spans="5:6" x14ac:dyDescent="0.25">
      <c r="E762" t="s">
        <v>13</v>
      </c>
      <c r="F762" t="str">
        <f>VLOOKUP(E762,dimensao_bairro!A:B,2,FALSE)</f>
        <v>Matriz</v>
      </c>
    </row>
    <row r="763" spans="5:6" x14ac:dyDescent="0.25">
      <c r="E763" t="s">
        <v>10</v>
      </c>
      <c r="F763" t="str">
        <f>VLOOKUP(E763,dimensao_bairro!A:B,2,FALSE)</f>
        <v>Portão</v>
      </c>
    </row>
    <row r="764" spans="5:6" x14ac:dyDescent="0.25">
      <c r="E764" t="s">
        <v>11</v>
      </c>
      <c r="F764" t="str">
        <f>VLOOKUP(E764,dimensao_bairro!A:B,2,FALSE)</f>
        <v>Boqueirão</v>
      </c>
    </row>
    <row r="765" spans="5:6" x14ac:dyDescent="0.25">
      <c r="E765" t="s">
        <v>15</v>
      </c>
      <c r="F765" t="str">
        <f>VLOOKUP(E765,dimensao_bairro!A:B,2,FALSE)</f>
        <v>Boqueirão</v>
      </c>
    </row>
    <row r="766" spans="5:6" x14ac:dyDescent="0.25">
      <c r="E766" t="s">
        <v>15</v>
      </c>
      <c r="F766" t="str">
        <f>VLOOKUP(E766,dimensao_bairro!A:B,2,FALSE)</f>
        <v>Boqueirão</v>
      </c>
    </row>
    <row r="767" spans="5:6" x14ac:dyDescent="0.25">
      <c r="E767" t="s">
        <v>15</v>
      </c>
      <c r="F767" t="str">
        <f>VLOOKUP(E767,dimensao_bairro!A:B,2,FALSE)</f>
        <v>Boqueirão</v>
      </c>
    </row>
    <row r="768" spans="5:6" x14ac:dyDescent="0.25">
      <c r="E768" t="s">
        <v>11</v>
      </c>
      <c r="F768" t="str">
        <f>VLOOKUP(E768,dimensao_bairro!A:B,2,FALSE)</f>
        <v>Boqueirão</v>
      </c>
    </row>
    <row r="769" spans="5:6" x14ac:dyDescent="0.25">
      <c r="E769" t="s">
        <v>14</v>
      </c>
      <c r="F769" t="str">
        <f>VLOOKUP(E769,dimensao_bairro!A:B,2,FALSE)</f>
        <v>Cajuru</v>
      </c>
    </row>
    <row r="770" spans="5:6" x14ac:dyDescent="0.25">
      <c r="E770" t="s">
        <v>12</v>
      </c>
      <c r="F770" t="str">
        <f>VLOOKUP(E770,dimensao_bairro!A:B,2,FALSE)</f>
        <v>Portão</v>
      </c>
    </row>
    <row r="771" spans="5:6" x14ac:dyDescent="0.25">
      <c r="E771" t="s">
        <v>16</v>
      </c>
      <c r="F771" t="str">
        <f>VLOOKUP(E771,dimensao_bairro!A:B,2,FALSE)</f>
        <v>Bairro Novo</v>
      </c>
    </row>
    <row r="772" spans="5:6" x14ac:dyDescent="0.25">
      <c r="E772" t="s">
        <v>9</v>
      </c>
      <c r="F772" t="str">
        <f>VLOOKUP(E772,dimensao_bairro!A:B,2,FALSE)</f>
        <v>Portão</v>
      </c>
    </row>
    <row r="773" spans="5:6" x14ac:dyDescent="0.25">
      <c r="E773" t="s">
        <v>8</v>
      </c>
      <c r="F773" t="str">
        <f>VLOOKUP(E773,dimensao_bairro!A:B,2,FALSE)</f>
        <v>Portão</v>
      </c>
    </row>
    <row r="774" spans="5:6" x14ac:dyDescent="0.25">
      <c r="E774" t="s">
        <v>10</v>
      </c>
      <c r="F774" t="str">
        <f>VLOOKUP(E774,dimensao_bairro!A:B,2,FALSE)</f>
        <v>Portão</v>
      </c>
    </row>
    <row r="775" spans="5:6" x14ac:dyDescent="0.25">
      <c r="E775" t="s">
        <v>16</v>
      </c>
      <c r="F775" t="str">
        <f>VLOOKUP(E775,dimensao_bairro!A:B,2,FALSE)</f>
        <v>Bairro Novo</v>
      </c>
    </row>
    <row r="776" spans="5:6" x14ac:dyDescent="0.25">
      <c r="E776" t="s">
        <v>9</v>
      </c>
      <c r="F776" t="str">
        <f>VLOOKUP(E776,dimensao_bairro!A:B,2,FALSE)</f>
        <v>Portão</v>
      </c>
    </row>
    <row r="777" spans="5:6" x14ac:dyDescent="0.25">
      <c r="E777" t="s">
        <v>17</v>
      </c>
      <c r="F777" t="str">
        <f>VLOOKUP(E777,dimensao_bairro!A:B,2,FALSE)</f>
        <v>Boqueirão</v>
      </c>
    </row>
    <row r="778" spans="5:6" x14ac:dyDescent="0.25">
      <c r="E778" t="s">
        <v>5</v>
      </c>
      <c r="F778" t="str">
        <f>VLOOKUP(E778,dimensao_bairro!A:B,2,FALSE)</f>
        <v>Portão</v>
      </c>
    </row>
    <row r="779" spans="5:6" x14ac:dyDescent="0.25">
      <c r="E779" t="s">
        <v>5</v>
      </c>
      <c r="F779" t="str">
        <f>VLOOKUP(E779,dimensao_bairro!A:B,2,FALSE)</f>
        <v>Portão</v>
      </c>
    </row>
    <row r="780" spans="5:6" x14ac:dyDescent="0.25">
      <c r="E780" t="s">
        <v>6</v>
      </c>
      <c r="F780" t="str">
        <f>VLOOKUP(E780,dimensao_bairro!A:B,2,FALSE)</f>
        <v>Portão</v>
      </c>
    </row>
    <row r="781" spans="5:6" x14ac:dyDescent="0.25">
      <c r="E781" t="s">
        <v>16</v>
      </c>
      <c r="F781" t="str">
        <f>VLOOKUP(E781,dimensao_bairro!A:B,2,FALSE)</f>
        <v>Bairro Novo</v>
      </c>
    </row>
    <row r="782" spans="5:6" x14ac:dyDescent="0.25">
      <c r="E782" t="s">
        <v>16</v>
      </c>
      <c r="F782" t="str">
        <f>VLOOKUP(E782,dimensao_bairro!A:B,2,FALSE)</f>
        <v>Bairro Novo</v>
      </c>
    </row>
    <row r="783" spans="5:6" x14ac:dyDescent="0.25">
      <c r="E783" t="s">
        <v>16</v>
      </c>
      <c r="F783" t="str">
        <f>VLOOKUP(E783,dimensao_bairro!A:B,2,FALSE)</f>
        <v>Bairro Novo</v>
      </c>
    </row>
    <row r="784" spans="5:6" x14ac:dyDescent="0.25">
      <c r="E784" t="s">
        <v>13</v>
      </c>
      <c r="F784" t="str">
        <f>VLOOKUP(E784,dimensao_bairro!A:B,2,FALSE)</f>
        <v>Matriz</v>
      </c>
    </row>
    <row r="785" spans="5:6" x14ac:dyDescent="0.25">
      <c r="E785" t="s">
        <v>5</v>
      </c>
      <c r="F785" t="str">
        <f>VLOOKUP(E785,dimensao_bairro!A:B,2,FALSE)</f>
        <v>Portão</v>
      </c>
    </row>
    <row r="786" spans="5:6" x14ac:dyDescent="0.25">
      <c r="E786" t="s">
        <v>16</v>
      </c>
      <c r="F786" t="str">
        <f>VLOOKUP(E786,dimensao_bairro!A:B,2,FALSE)</f>
        <v>Bairro Novo</v>
      </c>
    </row>
    <row r="787" spans="5:6" x14ac:dyDescent="0.25">
      <c r="E787" t="s">
        <v>5</v>
      </c>
      <c r="F787" t="str">
        <f>VLOOKUP(E787,dimensao_bairro!A:B,2,FALSE)</f>
        <v>Portão</v>
      </c>
    </row>
    <row r="788" spans="5:6" x14ac:dyDescent="0.25">
      <c r="E788" t="s">
        <v>15</v>
      </c>
      <c r="F788" t="str">
        <f>VLOOKUP(E788,dimensao_bairro!A:B,2,FALSE)</f>
        <v>Boqueirão</v>
      </c>
    </row>
    <row r="789" spans="5:6" x14ac:dyDescent="0.25">
      <c r="E789" t="s">
        <v>13</v>
      </c>
      <c r="F789" t="str">
        <f>VLOOKUP(E789,dimensao_bairro!A:B,2,FALSE)</f>
        <v>Matriz</v>
      </c>
    </row>
    <row r="790" spans="5:6" x14ac:dyDescent="0.25">
      <c r="E790" t="s">
        <v>21</v>
      </c>
      <c r="F790" t="str">
        <f>VLOOKUP(E790,dimensao_bairro!A:B,2,FALSE)</f>
        <v>Matriz</v>
      </c>
    </row>
    <row r="791" spans="5:6" x14ac:dyDescent="0.25">
      <c r="E791" t="s">
        <v>23</v>
      </c>
      <c r="F791" t="str">
        <f>VLOOKUP(E791,dimensao_bairro!A:B,2,FALSE)</f>
        <v>Boqueirão</v>
      </c>
    </row>
    <row r="792" spans="5:6" x14ac:dyDescent="0.25">
      <c r="E792" t="s">
        <v>13</v>
      </c>
      <c r="F792" t="str">
        <f>VLOOKUP(E792,dimensao_bairro!A:B,2,FALSE)</f>
        <v>Matriz</v>
      </c>
    </row>
    <row r="793" spans="5:6" x14ac:dyDescent="0.25">
      <c r="E793" t="s">
        <v>13</v>
      </c>
      <c r="F793" t="str">
        <f>VLOOKUP(E793,dimensao_bairro!A:B,2,FALSE)</f>
        <v>Matriz</v>
      </c>
    </row>
    <row r="794" spans="5:6" x14ac:dyDescent="0.25">
      <c r="E794" t="s">
        <v>15</v>
      </c>
      <c r="F794" t="str">
        <f>VLOOKUP(E794,dimensao_bairro!A:B,2,FALSE)</f>
        <v>Boqueirão</v>
      </c>
    </row>
    <row r="795" spans="5:6" x14ac:dyDescent="0.25">
      <c r="E795" t="s">
        <v>20</v>
      </c>
      <c r="F795" t="str">
        <f>VLOOKUP(E795,dimensao_bairro!A:B,2,FALSE)</f>
        <v>Matriz</v>
      </c>
    </row>
    <row r="796" spans="5:6" x14ac:dyDescent="0.25">
      <c r="E796" t="s">
        <v>13</v>
      </c>
      <c r="F796" t="str">
        <f>VLOOKUP(E796,dimensao_bairro!A:B,2,FALSE)</f>
        <v>Matriz</v>
      </c>
    </row>
    <row r="797" spans="5:6" x14ac:dyDescent="0.25">
      <c r="E797" t="s">
        <v>21</v>
      </c>
      <c r="F797" t="str">
        <f>VLOOKUP(E797,dimensao_bairro!A:B,2,FALSE)</f>
        <v>Matriz</v>
      </c>
    </row>
    <row r="798" spans="5:6" x14ac:dyDescent="0.25">
      <c r="E798" t="s">
        <v>18</v>
      </c>
      <c r="F798" t="str">
        <f>VLOOKUP(E798,dimensao_bairro!A:B,2,FALSE)</f>
        <v>Matriz</v>
      </c>
    </row>
    <row r="799" spans="5:6" x14ac:dyDescent="0.25">
      <c r="E799" t="s">
        <v>19</v>
      </c>
      <c r="F799" t="str">
        <f>VLOOKUP(E799,dimensao_bairro!A:B,2,FALSE)</f>
        <v>Matriz</v>
      </c>
    </row>
    <row r="800" spans="5:6" x14ac:dyDescent="0.25">
      <c r="E800" t="s">
        <v>15</v>
      </c>
      <c r="F800" t="str">
        <f>VLOOKUP(E800,dimensao_bairro!A:B,2,FALSE)</f>
        <v>Boqueirão</v>
      </c>
    </row>
    <row r="801" spans="5:6" x14ac:dyDescent="0.25">
      <c r="E801" t="s">
        <v>16</v>
      </c>
      <c r="F801" t="str">
        <f>VLOOKUP(E801,dimensao_bairro!A:B,2,FALSE)</f>
        <v>Bairro Novo</v>
      </c>
    </row>
    <row r="802" spans="5:6" x14ac:dyDescent="0.25">
      <c r="E802" t="s">
        <v>16</v>
      </c>
      <c r="F802" t="str">
        <f>VLOOKUP(E802,dimensao_bairro!A:B,2,FALSE)</f>
        <v>Bairro Novo</v>
      </c>
    </row>
    <row r="803" spans="5:6" x14ac:dyDescent="0.25">
      <c r="E803" t="s">
        <v>23</v>
      </c>
      <c r="F803" t="str">
        <f>VLOOKUP(E803,dimensao_bairro!A:B,2,FALSE)</f>
        <v>Boqueirão</v>
      </c>
    </row>
    <row r="804" spans="5:6" x14ac:dyDescent="0.25">
      <c r="E804" t="s">
        <v>23</v>
      </c>
      <c r="F804" t="str">
        <f>VLOOKUP(E804,dimensao_bairro!A:B,2,FALSE)</f>
        <v>Boqueirão</v>
      </c>
    </row>
    <row r="805" spans="5:6" x14ac:dyDescent="0.25">
      <c r="E805" t="s">
        <v>23</v>
      </c>
      <c r="F805" t="str">
        <f>VLOOKUP(E805,dimensao_bairro!A:B,2,FALSE)</f>
        <v>Boqueirão</v>
      </c>
    </row>
    <row r="806" spans="5:6" x14ac:dyDescent="0.25">
      <c r="E806" t="s">
        <v>11</v>
      </c>
      <c r="F806" t="str">
        <f>VLOOKUP(E806,dimensao_bairro!A:B,2,FALSE)</f>
        <v>Boqueirão</v>
      </c>
    </row>
    <row r="807" spans="5:6" x14ac:dyDescent="0.25">
      <c r="E807" t="s">
        <v>26</v>
      </c>
      <c r="F807" t="str">
        <f>VLOOKUP(E807,dimensao_bairro!A:B,2,FALSE)</f>
        <v>Portão</v>
      </c>
    </row>
    <row r="808" spans="5:6" x14ac:dyDescent="0.25">
      <c r="E808" t="s">
        <v>11</v>
      </c>
      <c r="F808" t="str">
        <f>VLOOKUP(E808,dimensao_bairro!A:B,2,FALSE)</f>
        <v>Boqueirão</v>
      </c>
    </row>
    <row r="809" spans="5:6" x14ac:dyDescent="0.25">
      <c r="E809" t="s">
        <v>25</v>
      </c>
      <c r="F809" t="str">
        <f>VLOOKUP(E809,dimensao_bairro!A:B,2,FALSE)</f>
        <v>Cajuru</v>
      </c>
    </row>
    <row r="810" spans="5:6" x14ac:dyDescent="0.25">
      <c r="E810" t="s">
        <v>6</v>
      </c>
      <c r="F810" t="str">
        <f>VLOOKUP(E810,dimensao_bairro!A:B,2,FALSE)</f>
        <v>Portão</v>
      </c>
    </row>
    <row r="811" spans="5:6" x14ac:dyDescent="0.25">
      <c r="E811" t="s">
        <v>15</v>
      </c>
      <c r="F811" t="str">
        <f>VLOOKUP(E811,dimensao_bairro!A:B,2,FALSE)</f>
        <v>Boqueirão</v>
      </c>
    </row>
    <row r="812" spans="5:6" x14ac:dyDescent="0.25">
      <c r="E812" t="s">
        <v>11</v>
      </c>
      <c r="F812" t="str">
        <f>VLOOKUP(E812,dimensao_bairro!A:B,2,FALSE)</f>
        <v>Boqueirão</v>
      </c>
    </row>
    <row r="813" spans="5:6" x14ac:dyDescent="0.25">
      <c r="E813" t="s">
        <v>25</v>
      </c>
      <c r="F813" t="str">
        <f>VLOOKUP(E813,dimensao_bairro!A:B,2,FALSE)</f>
        <v>Cajuru</v>
      </c>
    </row>
    <row r="814" spans="5:6" x14ac:dyDescent="0.25">
      <c r="E814" t="s">
        <v>15</v>
      </c>
      <c r="F814" t="str">
        <f>VLOOKUP(E814,dimensao_bairro!A:B,2,FALSE)</f>
        <v>Boqueirão</v>
      </c>
    </row>
    <row r="815" spans="5:6" x14ac:dyDescent="0.25">
      <c r="E815" t="s">
        <v>11</v>
      </c>
      <c r="F815" t="str">
        <f>VLOOKUP(E815,dimensao_bairro!A:B,2,FALSE)</f>
        <v>Boqueirão</v>
      </c>
    </row>
    <row r="816" spans="5:6" x14ac:dyDescent="0.25">
      <c r="E816" t="s">
        <v>8</v>
      </c>
      <c r="F816" t="str">
        <f>VLOOKUP(E816,dimensao_bairro!A:B,2,FALSE)</f>
        <v>Portão</v>
      </c>
    </row>
    <row r="817" spans="5:6" x14ac:dyDescent="0.25">
      <c r="E817" t="s">
        <v>26</v>
      </c>
      <c r="F817" t="str">
        <f>VLOOKUP(E817,dimensao_bairro!A:B,2,FALSE)</f>
        <v>Portão</v>
      </c>
    </row>
    <row r="818" spans="5:6" x14ac:dyDescent="0.25">
      <c r="E818" t="s">
        <v>26</v>
      </c>
      <c r="F818" t="str">
        <f>VLOOKUP(E818,dimensao_bairro!A:B,2,FALSE)</f>
        <v>Portão</v>
      </c>
    </row>
    <row r="819" spans="5:6" x14ac:dyDescent="0.25">
      <c r="E819" t="s">
        <v>10</v>
      </c>
      <c r="F819" t="str">
        <f>VLOOKUP(E819,dimensao_bairro!A:B,2,FALSE)</f>
        <v>Portão</v>
      </c>
    </row>
    <row r="820" spans="5:6" x14ac:dyDescent="0.25">
      <c r="E820" t="s">
        <v>23</v>
      </c>
      <c r="F820" t="str">
        <f>VLOOKUP(E820,dimensao_bairro!A:B,2,FALSE)</f>
        <v>Boqueirão</v>
      </c>
    </row>
    <row r="821" spans="5:6" x14ac:dyDescent="0.25">
      <c r="E821" t="s">
        <v>10</v>
      </c>
      <c r="F821" t="str">
        <f>VLOOKUP(E821,dimensao_bairro!A:B,2,FALSE)</f>
        <v>Portão</v>
      </c>
    </row>
    <row r="822" spans="5:6" x14ac:dyDescent="0.25">
      <c r="E822" t="s">
        <v>15</v>
      </c>
      <c r="F822" t="str">
        <f>VLOOKUP(E822,dimensao_bairro!A:B,2,FALSE)</f>
        <v>Boqueirão</v>
      </c>
    </row>
    <row r="823" spans="5:6" x14ac:dyDescent="0.25">
      <c r="E823" t="s">
        <v>23</v>
      </c>
      <c r="F823" t="str">
        <f>VLOOKUP(E823,dimensao_bairro!A:B,2,FALSE)</f>
        <v>Boqueirão</v>
      </c>
    </row>
    <row r="824" spans="5:6" x14ac:dyDescent="0.25">
      <c r="E824" t="s">
        <v>11</v>
      </c>
      <c r="F824" t="str">
        <f>VLOOKUP(E824,dimensao_bairro!A:B,2,FALSE)</f>
        <v>Boqueirão</v>
      </c>
    </row>
    <row r="825" spans="5:6" x14ac:dyDescent="0.25">
      <c r="E825" t="s">
        <v>5</v>
      </c>
      <c r="F825" t="str">
        <f>VLOOKUP(E825,dimensao_bairro!A:B,2,FALSE)</f>
        <v>Portão</v>
      </c>
    </row>
    <row r="826" spans="5:6" x14ac:dyDescent="0.25">
      <c r="E826" t="s">
        <v>15</v>
      </c>
      <c r="F826" t="str">
        <f>VLOOKUP(E826,dimensao_bairro!A:B,2,FALSE)</f>
        <v>Boqueirão</v>
      </c>
    </row>
    <row r="827" spans="5:6" x14ac:dyDescent="0.25">
      <c r="E827" t="s">
        <v>11</v>
      </c>
      <c r="F827" t="str">
        <f>VLOOKUP(E827,dimensao_bairro!A:B,2,FALSE)</f>
        <v>Boqueirão</v>
      </c>
    </row>
    <row r="828" spans="5:6" x14ac:dyDescent="0.25">
      <c r="E828" t="s">
        <v>23</v>
      </c>
      <c r="F828" t="str">
        <f>VLOOKUP(E828,dimensao_bairro!A:B,2,FALSE)</f>
        <v>Boqueirão</v>
      </c>
    </row>
    <row r="829" spans="5:6" x14ac:dyDescent="0.25">
      <c r="E829" t="s">
        <v>26</v>
      </c>
      <c r="F829" t="str">
        <f>VLOOKUP(E829,dimensao_bairro!A:B,2,FALSE)</f>
        <v>Portão</v>
      </c>
    </row>
    <row r="830" spans="5:6" x14ac:dyDescent="0.25">
      <c r="E830" t="s">
        <v>15</v>
      </c>
      <c r="F830" t="str">
        <f>VLOOKUP(E830,dimensao_bairro!A:B,2,FALSE)</f>
        <v>Boqueirão</v>
      </c>
    </row>
    <row r="831" spans="5:6" x14ac:dyDescent="0.25">
      <c r="E831" t="s">
        <v>9</v>
      </c>
      <c r="F831" t="str">
        <f>VLOOKUP(E831,dimensao_bairro!A:B,2,FALSE)</f>
        <v>Portão</v>
      </c>
    </row>
    <row r="832" spans="5:6" x14ac:dyDescent="0.25">
      <c r="E832" t="s">
        <v>9</v>
      </c>
      <c r="F832" t="str">
        <f>VLOOKUP(E832,dimensao_bairro!A:B,2,FALSE)</f>
        <v>Portão</v>
      </c>
    </row>
    <row r="833" spans="5:6" x14ac:dyDescent="0.25">
      <c r="E833" t="s">
        <v>6</v>
      </c>
      <c r="F833" t="str">
        <f>VLOOKUP(E833,dimensao_bairro!A:B,2,FALSE)</f>
        <v>Portão</v>
      </c>
    </row>
    <row r="834" spans="5:6" x14ac:dyDescent="0.25">
      <c r="E834" t="s">
        <v>15</v>
      </c>
      <c r="F834" t="str">
        <f>VLOOKUP(E834,dimensao_bairro!A:B,2,FALSE)</f>
        <v>Boqueirão</v>
      </c>
    </row>
    <row r="835" spans="5:6" x14ac:dyDescent="0.25">
      <c r="E835" t="s">
        <v>15</v>
      </c>
      <c r="F835" t="str">
        <f>VLOOKUP(E835,dimensao_bairro!A:B,2,FALSE)</f>
        <v>Boqueirão</v>
      </c>
    </row>
    <row r="836" spans="5:6" x14ac:dyDescent="0.25">
      <c r="E836" t="s">
        <v>12</v>
      </c>
      <c r="F836" t="str">
        <f>VLOOKUP(E836,dimensao_bairro!A:B,2,FALSE)</f>
        <v>Portão</v>
      </c>
    </row>
    <row r="837" spans="5:6" x14ac:dyDescent="0.25">
      <c r="E837" t="s">
        <v>26</v>
      </c>
      <c r="F837" t="str">
        <f>VLOOKUP(E837,dimensao_bairro!A:B,2,FALSE)</f>
        <v>Portão</v>
      </c>
    </row>
    <row r="838" spans="5:6" x14ac:dyDescent="0.25">
      <c r="E838" t="s">
        <v>10</v>
      </c>
      <c r="F838" t="str">
        <f>VLOOKUP(E838,dimensao_bairro!A:B,2,FALSE)</f>
        <v>Portão</v>
      </c>
    </row>
    <row r="839" spans="5:6" x14ac:dyDescent="0.25">
      <c r="E839" t="s">
        <v>15</v>
      </c>
      <c r="F839" t="str">
        <f>VLOOKUP(E839,dimensao_bairro!A:B,2,FALSE)</f>
        <v>Boqueirão</v>
      </c>
    </row>
    <row r="840" spans="5:6" x14ac:dyDescent="0.25">
      <c r="E840" t="s">
        <v>15</v>
      </c>
      <c r="F840" t="str">
        <f>VLOOKUP(E840,dimensao_bairro!A:B,2,FALSE)</f>
        <v>Boqueirão</v>
      </c>
    </row>
    <row r="841" spans="5:6" x14ac:dyDescent="0.25">
      <c r="E841" t="s">
        <v>15</v>
      </c>
      <c r="F841" t="str">
        <f>VLOOKUP(E841,dimensao_bairro!A:B,2,FALSE)</f>
        <v>Boqueirão</v>
      </c>
    </row>
    <row r="842" spans="5:6" x14ac:dyDescent="0.25">
      <c r="E842" t="s">
        <v>12</v>
      </c>
      <c r="F842" t="str">
        <f>VLOOKUP(E842,dimensao_bairro!A:B,2,FALSE)</f>
        <v>Portão</v>
      </c>
    </row>
    <row r="843" spans="5:6" x14ac:dyDescent="0.25">
      <c r="E843" t="s">
        <v>11</v>
      </c>
      <c r="F843" t="str">
        <f>VLOOKUP(E843,dimensao_bairro!A:B,2,FALSE)</f>
        <v>Boqueirão</v>
      </c>
    </row>
    <row r="844" spans="5:6" x14ac:dyDescent="0.25">
      <c r="E844" t="s">
        <v>26</v>
      </c>
      <c r="F844" t="str">
        <f>VLOOKUP(E844,dimensao_bairro!A:B,2,FALSE)</f>
        <v>Portão</v>
      </c>
    </row>
    <row r="845" spans="5:6" x14ac:dyDescent="0.25">
      <c r="E845" t="s">
        <v>14</v>
      </c>
      <c r="F845" t="str">
        <f>VLOOKUP(E845,dimensao_bairro!A:B,2,FALSE)</f>
        <v>Cajuru</v>
      </c>
    </row>
    <row r="846" spans="5:6" x14ac:dyDescent="0.25">
      <c r="E846" t="s">
        <v>23</v>
      </c>
      <c r="F846" t="str">
        <f>VLOOKUP(E846,dimensao_bairro!A:B,2,FALSE)</f>
        <v>Boqueirão</v>
      </c>
    </row>
    <row r="847" spans="5:6" x14ac:dyDescent="0.25">
      <c r="E847" t="s">
        <v>10</v>
      </c>
      <c r="F847" t="str">
        <f>VLOOKUP(E847,dimensao_bairro!A:B,2,FALSE)</f>
        <v>Portão</v>
      </c>
    </row>
    <row r="848" spans="5:6" x14ac:dyDescent="0.25">
      <c r="E848" t="s">
        <v>11</v>
      </c>
      <c r="F848" t="str">
        <f>VLOOKUP(E848,dimensao_bairro!A:B,2,FALSE)</f>
        <v>Boqueirão</v>
      </c>
    </row>
    <row r="849" spans="5:6" x14ac:dyDescent="0.25">
      <c r="E849" t="s">
        <v>11</v>
      </c>
      <c r="F849" t="str">
        <f>VLOOKUP(E849,dimensao_bairro!A:B,2,FALSE)</f>
        <v>Boqueirão</v>
      </c>
    </row>
    <row r="850" spans="5:6" x14ac:dyDescent="0.25">
      <c r="E850" t="s">
        <v>15</v>
      </c>
      <c r="F850" t="str">
        <f>VLOOKUP(E850,dimensao_bairro!A:B,2,FALSE)</f>
        <v>Boqueirão</v>
      </c>
    </row>
    <row r="851" spans="5:6" x14ac:dyDescent="0.25">
      <c r="E851" t="s">
        <v>5</v>
      </c>
      <c r="F851" t="str">
        <f>VLOOKUP(E851,dimensao_bairro!A:B,2,FALSE)</f>
        <v>Portão</v>
      </c>
    </row>
    <row r="852" spans="5:6" x14ac:dyDescent="0.25">
      <c r="E852" t="s">
        <v>14</v>
      </c>
      <c r="F852" t="str">
        <f>VLOOKUP(E852,dimensao_bairro!A:B,2,FALSE)</f>
        <v>Cajuru</v>
      </c>
    </row>
    <row r="853" spans="5:6" x14ac:dyDescent="0.25">
      <c r="E853" t="s">
        <v>23</v>
      </c>
      <c r="F853" t="str">
        <f>VLOOKUP(E853,dimensao_bairro!A:B,2,FALSE)</f>
        <v>Boqueirão</v>
      </c>
    </row>
    <row r="854" spans="5:6" x14ac:dyDescent="0.25">
      <c r="E854" t="s">
        <v>16</v>
      </c>
      <c r="F854" t="str">
        <f>VLOOKUP(E854,dimensao_bairro!A:B,2,FALSE)</f>
        <v>Bairro Novo</v>
      </c>
    </row>
    <row r="855" spans="5:6" x14ac:dyDescent="0.25">
      <c r="E855" t="s">
        <v>8</v>
      </c>
      <c r="F855" t="str">
        <f>VLOOKUP(E855,dimensao_bairro!A:B,2,FALSE)</f>
        <v>Portão</v>
      </c>
    </row>
    <row r="856" spans="5:6" x14ac:dyDescent="0.25">
      <c r="E856" t="s">
        <v>23</v>
      </c>
      <c r="F856" t="str">
        <f>VLOOKUP(E856,dimensao_bairro!A:B,2,FALSE)</f>
        <v>Boqueirão</v>
      </c>
    </row>
    <row r="857" spans="5:6" x14ac:dyDescent="0.25">
      <c r="E857" t="s">
        <v>24</v>
      </c>
      <c r="F857" t="str">
        <f>VLOOKUP(E857,dimensao_bairro!A:B,2,FALSE)</f>
        <v>Pinheirinho</v>
      </c>
    </row>
    <row r="858" spans="5:6" x14ac:dyDescent="0.25">
      <c r="E858" t="s">
        <v>16</v>
      </c>
      <c r="F858" t="str">
        <f>VLOOKUP(E858,dimensao_bairro!A:B,2,FALSE)</f>
        <v>Bairro Novo</v>
      </c>
    </row>
    <row r="859" spans="5:6" x14ac:dyDescent="0.25">
      <c r="E859" t="s">
        <v>8</v>
      </c>
      <c r="F859" t="str">
        <f>VLOOKUP(E859,dimensao_bairro!A:B,2,FALSE)</f>
        <v>Portão</v>
      </c>
    </row>
    <row r="860" spans="5:6" x14ac:dyDescent="0.25">
      <c r="E860" t="s">
        <v>16</v>
      </c>
      <c r="F860" t="str">
        <f>VLOOKUP(E860,dimensao_bairro!A:B,2,FALSE)</f>
        <v>Bairro Novo</v>
      </c>
    </row>
    <row r="861" spans="5:6" x14ac:dyDescent="0.25">
      <c r="E861" t="s">
        <v>16</v>
      </c>
      <c r="F861" t="str">
        <f>VLOOKUP(E861,dimensao_bairro!A:B,2,FALSE)</f>
        <v>Bairro Novo</v>
      </c>
    </row>
    <row r="862" spans="5:6" x14ac:dyDescent="0.25">
      <c r="E862" t="s">
        <v>16</v>
      </c>
      <c r="F862" t="str">
        <f>VLOOKUP(E862,dimensao_bairro!A:B,2,FALSE)</f>
        <v>Bairro Novo</v>
      </c>
    </row>
    <row r="863" spans="5:6" x14ac:dyDescent="0.25">
      <c r="E863" t="s">
        <v>6</v>
      </c>
      <c r="F863" t="str">
        <f>VLOOKUP(E863,dimensao_bairro!A:B,2,FALSE)</f>
        <v>Portão</v>
      </c>
    </row>
    <row r="864" spans="5:6" x14ac:dyDescent="0.25">
      <c r="E864" t="s">
        <v>16</v>
      </c>
      <c r="F864" t="str">
        <f>VLOOKUP(E864,dimensao_bairro!A:B,2,FALSE)</f>
        <v>Bairro Novo</v>
      </c>
    </row>
    <row r="865" spans="5:6" x14ac:dyDescent="0.25">
      <c r="E865" t="s">
        <v>16</v>
      </c>
      <c r="F865" t="str">
        <f>VLOOKUP(E865,dimensao_bairro!A:B,2,FALSE)</f>
        <v>Bairro Novo</v>
      </c>
    </row>
    <row r="866" spans="5:6" x14ac:dyDescent="0.25">
      <c r="E866" t="s">
        <v>26</v>
      </c>
      <c r="F866" t="str">
        <f>VLOOKUP(E866,dimensao_bairro!A:B,2,FALSE)</f>
        <v>Portão</v>
      </c>
    </row>
    <row r="867" spans="5:6" x14ac:dyDescent="0.25">
      <c r="E867" t="s">
        <v>24</v>
      </c>
      <c r="F867" t="str">
        <f>VLOOKUP(E867,dimensao_bairro!A:B,2,FALSE)</f>
        <v>Pinheirinho</v>
      </c>
    </row>
    <row r="868" spans="5:6" x14ac:dyDescent="0.25">
      <c r="E868" t="s">
        <v>24</v>
      </c>
      <c r="F868" t="str">
        <f>VLOOKUP(E868,dimensao_bairro!A:B,2,FALSE)</f>
        <v>Pinheirinho</v>
      </c>
    </row>
    <row r="869" spans="5:6" x14ac:dyDescent="0.25">
      <c r="E869" t="s">
        <v>27</v>
      </c>
      <c r="F869" t="str">
        <f>VLOOKUP(E869,dimensao_bairro!A:B,2,FALSE)</f>
        <v>Pinheirinho</v>
      </c>
    </row>
    <row r="870" spans="5:6" x14ac:dyDescent="0.25">
      <c r="E870" t="s">
        <v>26</v>
      </c>
      <c r="F870" t="str">
        <f>VLOOKUP(E870,dimensao_bairro!A:B,2,FALSE)</f>
        <v>Portão</v>
      </c>
    </row>
    <row r="871" spans="5:6" x14ac:dyDescent="0.25">
      <c r="E871" t="s">
        <v>24</v>
      </c>
      <c r="F871" t="str">
        <f>VLOOKUP(E871,dimensao_bairro!A:B,2,FALSE)</f>
        <v>Pinheirinho</v>
      </c>
    </row>
    <row r="872" spans="5:6" x14ac:dyDescent="0.25">
      <c r="E872" t="s">
        <v>24</v>
      </c>
      <c r="F872" t="str">
        <f>VLOOKUP(E872,dimensao_bairro!A:B,2,FALSE)</f>
        <v>Pinheirinho</v>
      </c>
    </row>
    <row r="873" spans="5:6" x14ac:dyDescent="0.25">
      <c r="E873" t="s">
        <v>26</v>
      </c>
      <c r="F873" t="str">
        <f>VLOOKUP(E873,dimensao_bairro!A:B,2,FALSE)</f>
        <v>Portão</v>
      </c>
    </row>
    <row r="874" spans="5:6" x14ac:dyDescent="0.25">
      <c r="E874" t="s">
        <v>26</v>
      </c>
      <c r="F874" t="str">
        <f>VLOOKUP(E874,dimensao_bairro!A:B,2,FALSE)</f>
        <v>Portão</v>
      </c>
    </row>
    <row r="875" spans="5:6" x14ac:dyDescent="0.25">
      <c r="E875" t="s">
        <v>16</v>
      </c>
      <c r="F875" t="str">
        <f>VLOOKUP(E875,dimensao_bairro!A:B,2,FALSE)</f>
        <v>Bairro Novo</v>
      </c>
    </row>
    <row r="876" spans="5:6" x14ac:dyDescent="0.25">
      <c r="E876" t="s">
        <v>27</v>
      </c>
      <c r="F876" t="str">
        <f>VLOOKUP(E876,dimensao_bairro!A:B,2,FALSE)</f>
        <v>Pinheirinho</v>
      </c>
    </row>
    <row r="877" spans="5:6" x14ac:dyDescent="0.25">
      <c r="E877" t="s">
        <v>28</v>
      </c>
      <c r="F877" t="str">
        <f>VLOOKUP(E877,dimensao_bairro!A:B,2,FALSE)</f>
        <v>CIC</v>
      </c>
    </row>
    <row r="878" spans="5:6" x14ac:dyDescent="0.25">
      <c r="E878" t="s">
        <v>12</v>
      </c>
      <c r="F878" t="str">
        <f>VLOOKUP(E878,dimensao_bairro!A:B,2,FALSE)</f>
        <v>Portão</v>
      </c>
    </row>
    <row r="879" spans="5:6" x14ac:dyDescent="0.25">
      <c r="E879" t="s">
        <v>29</v>
      </c>
      <c r="F879" t="str">
        <f>VLOOKUP(E879,dimensao_bairro!A:B,2,FALSE)</f>
        <v>Portão</v>
      </c>
    </row>
    <row r="880" spans="5:6" x14ac:dyDescent="0.25">
      <c r="E880" t="s">
        <v>9</v>
      </c>
      <c r="F880" t="str">
        <f>VLOOKUP(E880,dimensao_bairro!A:B,2,FALSE)</f>
        <v>Portão</v>
      </c>
    </row>
    <row r="881" spans="5:6" x14ac:dyDescent="0.25">
      <c r="E881" t="s">
        <v>12</v>
      </c>
      <c r="F881" t="str">
        <f>VLOOKUP(E881,dimensao_bairro!A:B,2,FALSE)</f>
        <v>Portão</v>
      </c>
    </row>
    <row r="882" spans="5:6" x14ac:dyDescent="0.25">
      <c r="E882" t="s">
        <v>29</v>
      </c>
      <c r="F882" t="str">
        <f>VLOOKUP(E882,dimensao_bairro!A:B,2,FALSE)</f>
        <v>Portão</v>
      </c>
    </row>
    <row r="883" spans="5:6" x14ac:dyDescent="0.25">
      <c r="E883" t="s">
        <v>26</v>
      </c>
      <c r="F883" t="str">
        <f>VLOOKUP(E883,dimensao_bairro!A:B,2,FALSE)</f>
        <v>Portão</v>
      </c>
    </row>
    <row r="884" spans="5:6" x14ac:dyDescent="0.25">
      <c r="E884" t="s">
        <v>26</v>
      </c>
      <c r="F884" t="str">
        <f>VLOOKUP(E884,dimensao_bairro!A:B,2,FALSE)</f>
        <v>Portão</v>
      </c>
    </row>
    <row r="885" spans="5:6" x14ac:dyDescent="0.25">
      <c r="E885" t="s">
        <v>26</v>
      </c>
      <c r="F885" t="str">
        <f>VLOOKUP(E885,dimensao_bairro!A:B,2,FALSE)</f>
        <v>Portão</v>
      </c>
    </row>
    <row r="886" spans="5:6" x14ac:dyDescent="0.25">
      <c r="E886" t="s">
        <v>24</v>
      </c>
      <c r="F886" t="str">
        <f>VLOOKUP(E886,dimensao_bairro!A:B,2,FALSE)</f>
        <v>Pinheirinho</v>
      </c>
    </row>
    <row r="887" spans="5:6" x14ac:dyDescent="0.25">
      <c r="E887" t="s">
        <v>6</v>
      </c>
      <c r="F887" t="str">
        <f>VLOOKUP(E887,dimensao_bairro!A:B,2,FALSE)</f>
        <v>Portão</v>
      </c>
    </row>
    <row r="888" spans="5:6" x14ac:dyDescent="0.25">
      <c r="E888" t="s">
        <v>6</v>
      </c>
      <c r="F888" t="str">
        <f>VLOOKUP(E888,dimensao_bairro!A:B,2,FALSE)</f>
        <v>Portão</v>
      </c>
    </row>
    <row r="889" spans="5:6" x14ac:dyDescent="0.25">
      <c r="E889" t="s">
        <v>30</v>
      </c>
      <c r="F889" t="str">
        <f>VLOOKUP(E889,dimensao_bairro!A:B,2,FALSE)</f>
        <v>Portão</v>
      </c>
    </row>
    <row r="890" spans="5:6" x14ac:dyDescent="0.25">
      <c r="E890" t="s">
        <v>30</v>
      </c>
      <c r="F890" t="str">
        <f>VLOOKUP(E890,dimensao_bairro!A:B,2,FALSE)</f>
        <v>Portão</v>
      </c>
    </row>
    <row r="891" spans="5:6" x14ac:dyDescent="0.25">
      <c r="E891" t="s">
        <v>9</v>
      </c>
      <c r="F891" t="str">
        <f>VLOOKUP(E891,dimensao_bairro!A:B,2,FALSE)</f>
        <v>Portão</v>
      </c>
    </row>
    <row r="892" spans="5:6" x14ac:dyDescent="0.25">
      <c r="E892" t="s">
        <v>9</v>
      </c>
      <c r="F892" t="str">
        <f>VLOOKUP(E892,dimensao_bairro!A:B,2,FALSE)</f>
        <v>Portão</v>
      </c>
    </row>
    <row r="893" spans="5:6" x14ac:dyDescent="0.25">
      <c r="E893" t="s">
        <v>5</v>
      </c>
      <c r="F893" t="str">
        <f>VLOOKUP(E893,dimensao_bairro!A:B,2,FALSE)</f>
        <v>Portão</v>
      </c>
    </row>
    <row r="894" spans="5:6" x14ac:dyDescent="0.25">
      <c r="E894" t="s">
        <v>9</v>
      </c>
      <c r="F894" t="str">
        <f>VLOOKUP(E894,dimensao_bairro!A:B,2,FALSE)</f>
        <v>Portão</v>
      </c>
    </row>
    <row r="895" spans="5:6" x14ac:dyDescent="0.25">
      <c r="E895" t="s">
        <v>8</v>
      </c>
      <c r="F895" t="str">
        <f>VLOOKUP(E895,dimensao_bairro!A:B,2,FALSE)</f>
        <v>Portão</v>
      </c>
    </row>
    <row r="896" spans="5:6" x14ac:dyDescent="0.25">
      <c r="E896" t="s">
        <v>9</v>
      </c>
      <c r="F896" t="str">
        <f>VLOOKUP(E896,dimensao_bairro!A:B,2,FALSE)</f>
        <v>Portão</v>
      </c>
    </row>
    <row r="897" spans="5:6" x14ac:dyDescent="0.25">
      <c r="E897" t="s">
        <v>13</v>
      </c>
      <c r="F897" t="str">
        <f>VLOOKUP(E897,dimensao_bairro!A:B,2,FALSE)</f>
        <v>Matriz</v>
      </c>
    </row>
    <row r="898" spans="5:6" x14ac:dyDescent="0.25">
      <c r="E898" t="s">
        <v>5</v>
      </c>
      <c r="F898" t="str">
        <f>VLOOKUP(E898,dimensao_bairro!A:B,2,FALSE)</f>
        <v>Portão</v>
      </c>
    </row>
    <row r="899" spans="5:6" x14ac:dyDescent="0.25">
      <c r="E899" t="s">
        <v>5</v>
      </c>
      <c r="F899" t="str">
        <f>VLOOKUP(E899,dimensao_bairro!A:B,2,FALSE)</f>
        <v>Portão</v>
      </c>
    </row>
    <row r="900" spans="5:6" x14ac:dyDescent="0.25">
      <c r="E900" t="s">
        <v>26</v>
      </c>
      <c r="F900" t="str">
        <f>VLOOKUP(E900,dimensao_bairro!A:B,2,FALSE)</f>
        <v>Portão</v>
      </c>
    </row>
    <row r="901" spans="5:6" x14ac:dyDescent="0.25">
      <c r="E901" t="s">
        <v>6</v>
      </c>
      <c r="F901" t="str">
        <f>VLOOKUP(E901,dimensao_bairro!A:B,2,FALSE)</f>
        <v>Portão</v>
      </c>
    </row>
    <row r="902" spans="5:6" x14ac:dyDescent="0.25">
      <c r="E902" t="s">
        <v>12</v>
      </c>
      <c r="F902" t="str">
        <f>VLOOKUP(E902,dimensao_bairro!A:B,2,FALSE)</f>
        <v>Portão</v>
      </c>
    </row>
    <row r="903" spans="5:6" x14ac:dyDescent="0.25">
      <c r="E903" t="s">
        <v>10</v>
      </c>
      <c r="F903" t="str">
        <f>VLOOKUP(E903,dimensao_bairro!A:B,2,FALSE)</f>
        <v>Portão</v>
      </c>
    </row>
    <row r="904" spans="5:6" x14ac:dyDescent="0.25">
      <c r="E904" t="s">
        <v>15</v>
      </c>
      <c r="F904" t="str">
        <f>VLOOKUP(E904,dimensao_bairro!A:B,2,FALSE)</f>
        <v>Boqueirão</v>
      </c>
    </row>
    <row r="905" spans="5:6" x14ac:dyDescent="0.25">
      <c r="E905" t="s">
        <v>27</v>
      </c>
      <c r="F905" t="str">
        <f>VLOOKUP(E905,dimensao_bairro!A:B,2,FALSE)</f>
        <v>Pinheirinho</v>
      </c>
    </row>
    <row r="906" spans="5:6" x14ac:dyDescent="0.25">
      <c r="E906" t="s">
        <v>15</v>
      </c>
      <c r="F906" t="str">
        <f>VLOOKUP(E906,dimensao_bairro!A:B,2,FALSE)</f>
        <v>Boqueirão</v>
      </c>
    </row>
    <row r="907" spans="5:6" x14ac:dyDescent="0.25">
      <c r="E907" t="s">
        <v>10</v>
      </c>
      <c r="F907" t="str">
        <f>VLOOKUP(E907,dimensao_bairro!A:B,2,FALSE)</f>
        <v>Portão</v>
      </c>
    </row>
    <row r="908" spans="5:6" x14ac:dyDescent="0.25">
      <c r="E908" t="s">
        <v>15</v>
      </c>
      <c r="F908" t="str">
        <f>VLOOKUP(E908,dimensao_bairro!A:B,2,FALSE)</f>
        <v>Boqueirão</v>
      </c>
    </row>
    <row r="909" spans="5:6" x14ac:dyDescent="0.25">
      <c r="E909" t="s">
        <v>5</v>
      </c>
      <c r="F909" t="str">
        <f>VLOOKUP(E909,dimensao_bairro!A:B,2,FALSE)</f>
        <v>Portão</v>
      </c>
    </row>
    <row r="910" spans="5:6" x14ac:dyDescent="0.25">
      <c r="E910" t="s">
        <v>15</v>
      </c>
      <c r="F910" t="str">
        <f>VLOOKUP(E910,dimensao_bairro!A:B,2,FALSE)</f>
        <v>Boqueirão</v>
      </c>
    </row>
    <row r="911" spans="5:6" x14ac:dyDescent="0.25">
      <c r="E911" t="s">
        <v>5</v>
      </c>
      <c r="F911" t="str">
        <f>VLOOKUP(E911,dimensao_bairro!A:B,2,FALSE)</f>
        <v>Portão</v>
      </c>
    </row>
    <row r="912" spans="5:6" x14ac:dyDescent="0.25">
      <c r="E912" t="s">
        <v>23</v>
      </c>
      <c r="F912" t="str">
        <f>VLOOKUP(E912,dimensao_bairro!A:B,2,FALSE)</f>
        <v>Boqueirão</v>
      </c>
    </row>
    <row r="913" spans="5:6" x14ac:dyDescent="0.25">
      <c r="E913" t="s">
        <v>15</v>
      </c>
      <c r="F913" t="str">
        <f>VLOOKUP(E913,dimensao_bairro!A:B,2,FALSE)</f>
        <v>Boqueirão</v>
      </c>
    </row>
    <row r="914" spans="5:6" x14ac:dyDescent="0.25">
      <c r="E914" t="s">
        <v>15</v>
      </c>
      <c r="F914" t="str">
        <f>VLOOKUP(E914,dimensao_bairro!A:B,2,FALSE)</f>
        <v>Boqueirão</v>
      </c>
    </row>
    <row r="915" spans="5:6" x14ac:dyDescent="0.25">
      <c r="E915" t="s">
        <v>15</v>
      </c>
      <c r="F915" t="str">
        <f>VLOOKUP(E915,dimensao_bairro!A:B,2,FALSE)</f>
        <v>Boqueirão</v>
      </c>
    </row>
    <row r="916" spans="5:6" x14ac:dyDescent="0.25">
      <c r="E916" t="s">
        <v>15</v>
      </c>
      <c r="F916" t="str">
        <f>VLOOKUP(E916,dimensao_bairro!A:B,2,FALSE)</f>
        <v>Boqueirão</v>
      </c>
    </row>
    <row r="917" spans="5:6" x14ac:dyDescent="0.25">
      <c r="E917" t="s">
        <v>8</v>
      </c>
      <c r="F917" t="str">
        <f>VLOOKUP(E917,dimensao_bairro!A:B,2,FALSE)</f>
        <v>Portão</v>
      </c>
    </row>
    <row r="918" spans="5:6" x14ac:dyDescent="0.25">
      <c r="E918" t="s">
        <v>17</v>
      </c>
      <c r="F918" t="str">
        <f>VLOOKUP(E918,dimensao_bairro!A:B,2,FALSE)</f>
        <v>Boqueirão</v>
      </c>
    </row>
    <row r="919" spans="5:6" x14ac:dyDescent="0.25">
      <c r="E919" t="s">
        <v>23</v>
      </c>
      <c r="F919" t="str">
        <f>VLOOKUP(E919,dimensao_bairro!A:B,2,FALSE)</f>
        <v>Boqueirão</v>
      </c>
    </row>
    <row r="920" spans="5:6" x14ac:dyDescent="0.25">
      <c r="E920" t="s">
        <v>11</v>
      </c>
      <c r="F920" t="str">
        <f>VLOOKUP(E920,dimensao_bairro!A:B,2,FALSE)</f>
        <v>Boqueirão</v>
      </c>
    </row>
    <row r="921" spans="5:6" x14ac:dyDescent="0.25">
      <c r="E921" t="s">
        <v>11</v>
      </c>
      <c r="F921" t="str">
        <f>VLOOKUP(E921,dimensao_bairro!A:B,2,FALSE)</f>
        <v>Boqueirão</v>
      </c>
    </row>
    <row r="922" spans="5:6" x14ac:dyDescent="0.25">
      <c r="E922" t="s">
        <v>20</v>
      </c>
      <c r="F922" t="str">
        <f>VLOOKUP(E922,dimensao_bairro!A:B,2,FALSE)</f>
        <v>Matriz</v>
      </c>
    </row>
    <row r="923" spans="5:6" x14ac:dyDescent="0.25">
      <c r="E923" t="s">
        <v>9</v>
      </c>
      <c r="F923" t="str">
        <f>VLOOKUP(E923,dimensao_bairro!A:B,2,FALSE)</f>
        <v>Portão</v>
      </c>
    </row>
    <row r="924" spans="5:6" x14ac:dyDescent="0.25">
      <c r="E924" t="s">
        <v>8</v>
      </c>
      <c r="F924" t="str">
        <f>VLOOKUP(E924,dimensao_bairro!A:B,2,FALSE)</f>
        <v>Portão</v>
      </c>
    </row>
    <row r="925" spans="5:6" x14ac:dyDescent="0.25">
      <c r="E925" t="s">
        <v>15</v>
      </c>
      <c r="F925" t="str">
        <f>VLOOKUP(E925,dimensao_bairro!A:B,2,FALSE)</f>
        <v>Boqueirão</v>
      </c>
    </row>
    <row r="926" spans="5:6" x14ac:dyDescent="0.25">
      <c r="E926" t="s">
        <v>17</v>
      </c>
      <c r="F926" t="str">
        <f>VLOOKUP(E926,dimensao_bairro!A:B,2,FALSE)</f>
        <v>Boqueirão</v>
      </c>
    </row>
    <row r="927" spans="5:6" x14ac:dyDescent="0.25">
      <c r="E927" t="s">
        <v>12</v>
      </c>
      <c r="F927" t="str">
        <f>VLOOKUP(E927,dimensao_bairro!A:B,2,FALSE)</f>
        <v>Portão</v>
      </c>
    </row>
    <row r="928" spans="5:6" x14ac:dyDescent="0.25">
      <c r="E928" t="s">
        <v>5</v>
      </c>
      <c r="F928" t="str">
        <f>VLOOKUP(E928,dimensao_bairro!A:B,2,FALSE)</f>
        <v>Portão</v>
      </c>
    </row>
    <row r="929" spans="5:6" x14ac:dyDescent="0.25">
      <c r="E929" t="s">
        <v>5</v>
      </c>
      <c r="F929" t="str">
        <f>VLOOKUP(E929,dimensao_bairro!A:B,2,FALSE)</f>
        <v>Portão</v>
      </c>
    </row>
    <row r="930" spans="5:6" x14ac:dyDescent="0.25">
      <c r="E930" t="s">
        <v>9</v>
      </c>
      <c r="F930" t="str">
        <f>VLOOKUP(E930,dimensao_bairro!A:B,2,FALSE)</f>
        <v>Portão</v>
      </c>
    </row>
    <row r="931" spans="5:6" x14ac:dyDescent="0.25">
      <c r="E931" t="s">
        <v>9</v>
      </c>
      <c r="F931" t="str">
        <f>VLOOKUP(E931,dimensao_bairro!A:B,2,FALSE)</f>
        <v>Portão</v>
      </c>
    </row>
    <row r="932" spans="5:6" x14ac:dyDescent="0.25">
      <c r="E932" t="s">
        <v>15</v>
      </c>
      <c r="F932" t="str">
        <f>VLOOKUP(E932,dimensao_bairro!A:B,2,FALSE)</f>
        <v>Boqueirão</v>
      </c>
    </row>
    <row r="933" spans="5:6" x14ac:dyDescent="0.25">
      <c r="E933" t="s">
        <v>5</v>
      </c>
      <c r="F933" t="str">
        <f>VLOOKUP(E933,dimensao_bairro!A:B,2,FALSE)</f>
        <v>Portão</v>
      </c>
    </row>
    <row r="934" spans="5:6" x14ac:dyDescent="0.25">
      <c r="E934" t="s">
        <v>5</v>
      </c>
      <c r="F934" t="str">
        <f>VLOOKUP(E934,dimensao_bairro!A:B,2,FALSE)</f>
        <v>Portão</v>
      </c>
    </row>
    <row r="935" spans="5:6" x14ac:dyDescent="0.25">
      <c r="E935" t="s">
        <v>20</v>
      </c>
      <c r="F935" t="str">
        <f>VLOOKUP(E935,dimensao_bairro!A:B,2,FALSE)</f>
        <v>Matriz</v>
      </c>
    </row>
    <row r="936" spans="5:6" x14ac:dyDescent="0.25">
      <c r="E936" t="s">
        <v>9</v>
      </c>
      <c r="F936" t="str">
        <f>VLOOKUP(E936,dimensao_bairro!A:B,2,FALSE)</f>
        <v>Portão</v>
      </c>
    </row>
    <row r="937" spans="5:6" x14ac:dyDescent="0.25">
      <c r="E937" t="s">
        <v>13</v>
      </c>
      <c r="F937" t="str">
        <f>VLOOKUP(E937,dimensao_bairro!A:B,2,FALSE)</f>
        <v>Matriz</v>
      </c>
    </row>
    <row r="938" spans="5:6" x14ac:dyDescent="0.25">
      <c r="E938" t="s">
        <v>13</v>
      </c>
      <c r="F938" t="str">
        <f>VLOOKUP(E938,dimensao_bairro!A:B,2,FALSE)</f>
        <v>Matriz</v>
      </c>
    </row>
    <row r="939" spans="5:6" x14ac:dyDescent="0.25">
      <c r="E939" t="s">
        <v>10</v>
      </c>
      <c r="F939" t="str">
        <f>VLOOKUP(E939,dimensao_bairro!A:B,2,FALSE)</f>
        <v>Portão</v>
      </c>
    </row>
    <row r="940" spans="5:6" x14ac:dyDescent="0.25">
      <c r="E940" t="s">
        <v>10</v>
      </c>
      <c r="F940" t="str">
        <f>VLOOKUP(E940,dimensao_bairro!A:B,2,FALSE)</f>
        <v>Portão</v>
      </c>
    </row>
    <row r="941" spans="5:6" x14ac:dyDescent="0.25">
      <c r="E941" t="s">
        <v>11</v>
      </c>
      <c r="F941" t="str">
        <f>VLOOKUP(E941,dimensao_bairro!A:B,2,FALSE)</f>
        <v>Boqueirão</v>
      </c>
    </row>
    <row r="942" spans="5:6" x14ac:dyDescent="0.25">
      <c r="E942" t="s">
        <v>33</v>
      </c>
      <c r="F942" t="str">
        <f>VLOOKUP(E942,dimensao_bairro!A:B,2,FALSE)</f>
        <v>Santa Felicidade</v>
      </c>
    </row>
    <row r="943" spans="5:6" x14ac:dyDescent="0.25">
      <c r="E943" t="s">
        <v>15</v>
      </c>
      <c r="F943" t="str">
        <f>VLOOKUP(E943,dimensao_bairro!A:B,2,FALSE)</f>
        <v>Boqueirão</v>
      </c>
    </row>
    <row r="944" spans="5:6" x14ac:dyDescent="0.25">
      <c r="E944" t="s">
        <v>13</v>
      </c>
      <c r="F944" t="str">
        <f>VLOOKUP(E944,dimensao_bairro!A:B,2,FALSE)</f>
        <v>Matriz</v>
      </c>
    </row>
    <row r="945" spans="5:6" x14ac:dyDescent="0.25">
      <c r="E945" t="s">
        <v>5</v>
      </c>
      <c r="F945" t="str">
        <f>VLOOKUP(E945,dimensao_bairro!A:B,2,FALSE)</f>
        <v>Portão</v>
      </c>
    </row>
    <row r="946" spans="5:6" x14ac:dyDescent="0.25">
      <c r="E946" t="s">
        <v>10</v>
      </c>
      <c r="F946" t="str">
        <f>VLOOKUP(E946,dimensao_bairro!A:B,2,FALSE)</f>
        <v>Portão</v>
      </c>
    </row>
    <row r="947" spans="5:6" x14ac:dyDescent="0.25">
      <c r="E947" t="s">
        <v>9</v>
      </c>
      <c r="F947" t="str">
        <f>VLOOKUP(E947,dimensao_bairro!A:B,2,FALSE)</f>
        <v>Portão</v>
      </c>
    </row>
    <row r="948" spans="5:6" x14ac:dyDescent="0.25">
      <c r="E948" t="s">
        <v>34</v>
      </c>
      <c r="F948" t="str">
        <f>VLOOKUP(E948,dimensao_bairro!A:B,2,FALSE)</f>
        <v>Matriz</v>
      </c>
    </row>
    <row r="949" spans="5:6" x14ac:dyDescent="0.25">
      <c r="E949" t="s">
        <v>10</v>
      </c>
      <c r="F949" t="str">
        <f>VLOOKUP(E949,dimensao_bairro!A:B,2,FALSE)</f>
        <v>Portão</v>
      </c>
    </row>
    <row r="950" spans="5:6" x14ac:dyDescent="0.25">
      <c r="E950" t="s">
        <v>6</v>
      </c>
      <c r="F950" t="str">
        <f>VLOOKUP(E950,dimensao_bairro!A:B,2,FALSE)</f>
        <v>Portão</v>
      </c>
    </row>
    <row r="951" spans="5:6" x14ac:dyDescent="0.25">
      <c r="E951" t="s">
        <v>20</v>
      </c>
      <c r="F951" t="str">
        <f>VLOOKUP(E951,dimensao_bairro!A:B,2,FALSE)</f>
        <v>Matriz</v>
      </c>
    </row>
    <row r="952" spans="5:6" x14ac:dyDescent="0.25">
      <c r="E952" t="s">
        <v>5</v>
      </c>
      <c r="F952" t="str">
        <f>VLOOKUP(E952,dimensao_bairro!A:B,2,FALSE)</f>
        <v>Portão</v>
      </c>
    </row>
    <row r="953" spans="5:6" x14ac:dyDescent="0.25">
      <c r="E953" t="s">
        <v>5</v>
      </c>
      <c r="F953" t="str">
        <f>VLOOKUP(E953,dimensao_bairro!A:B,2,FALSE)</f>
        <v>Portão</v>
      </c>
    </row>
    <row r="954" spans="5:6" x14ac:dyDescent="0.25">
      <c r="E954" t="s">
        <v>6</v>
      </c>
      <c r="F954" t="str">
        <f>VLOOKUP(E954,dimensao_bairro!A:B,2,FALSE)</f>
        <v>Portão</v>
      </c>
    </row>
    <row r="955" spans="5:6" x14ac:dyDescent="0.25">
      <c r="E955" t="s">
        <v>10</v>
      </c>
      <c r="F955" t="str">
        <f>VLOOKUP(E955,dimensao_bairro!A:B,2,FALSE)</f>
        <v>Portão</v>
      </c>
    </row>
    <row r="956" spans="5:6" x14ac:dyDescent="0.25">
      <c r="E956" t="s">
        <v>6</v>
      </c>
      <c r="F956" t="str">
        <f>VLOOKUP(E956,dimensao_bairro!A:B,2,FALSE)</f>
        <v>Portão</v>
      </c>
    </row>
    <row r="957" spans="5:6" x14ac:dyDescent="0.25">
      <c r="E957" t="s">
        <v>29</v>
      </c>
      <c r="F957" t="str">
        <f>VLOOKUP(E957,dimensao_bairro!A:B,2,FALSE)</f>
        <v>Portão</v>
      </c>
    </row>
    <row r="958" spans="5:6" x14ac:dyDescent="0.25">
      <c r="E958" t="s">
        <v>6</v>
      </c>
      <c r="F958" t="str">
        <f>VLOOKUP(E958,dimensao_bairro!A:B,2,FALSE)</f>
        <v>Portão</v>
      </c>
    </row>
    <row r="959" spans="5:6" x14ac:dyDescent="0.25">
      <c r="E959" t="s">
        <v>12</v>
      </c>
      <c r="F959" t="str">
        <f>VLOOKUP(E959,dimensao_bairro!A:B,2,FALSE)</f>
        <v>Portão</v>
      </c>
    </row>
    <row r="960" spans="5:6" x14ac:dyDescent="0.25">
      <c r="E960" t="s">
        <v>28</v>
      </c>
      <c r="F960" t="str">
        <f>VLOOKUP(E960,dimensao_bairro!A:B,2,FALSE)</f>
        <v>CIC</v>
      </c>
    </row>
    <row r="961" spans="5:6" x14ac:dyDescent="0.25">
      <c r="E961" t="s">
        <v>11</v>
      </c>
      <c r="F961" t="str">
        <f>VLOOKUP(E961,dimensao_bairro!A:B,2,FALSE)</f>
        <v>Boqueirão</v>
      </c>
    </row>
    <row r="962" spans="5:6" x14ac:dyDescent="0.25">
      <c r="E962" t="s">
        <v>5</v>
      </c>
      <c r="F962" t="str">
        <f>VLOOKUP(E962,dimensao_bairro!A:B,2,FALSE)</f>
        <v>Portão</v>
      </c>
    </row>
    <row r="963" spans="5:6" x14ac:dyDescent="0.25">
      <c r="E963" t="s">
        <v>12</v>
      </c>
      <c r="F963" t="str">
        <f>VLOOKUP(E963,dimensao_bairro!A:B,2,FALSE)</f>
        <v>Portão</v>
      </c>
    </row>
    <row r="964" spans="5:6" x14ac:dyDescent="0.25">
      <c r="E964" t="s">
        <v>29</v>
      </c>
      <c r="F964" t="str">
        <f>VLOOKUP(E964,dimensao_bairro!A:B,2,FALSE)</f>
        <v>Portão</v>
      </c>
    </row>
    <row r="965" spans="5:6" x14ac:dyDescent="0.25">
      <c r="E965" t="s">
        <v>5</v>
      </c>
      <c r="F965" t="str">
        <f>VLOOKUP(E965,dimensao_bairro!A:B,2,FALSE)</f>
        <v>Portão</v>
      </c>
    </row>
    <row r="966" spans="5:6" x14ac:dyDescent="0.25">
      <c r="E966" t="s">
        <v>28</v>
      </c>
      <c r="F966" t="str">
        <f>VLOOKUP(E966,dimensao_bairro!A:B,2,FALSE)</f>
        <v>CIC</v>
      </c>
    </row>
    <row r="967" spans="5:6" x14ac:dyDescent="0.25">
      <c r="E967" t="s">
        <v>12</v>
      </c>
      <c r="F967" t="str">
        <f>VLOOKUP(E967,dimensao_bairro!A:B,2,FALSE)</f>
        <v>Portão</v>
      </c>
    </row>
    <row r="968" spans="5:6" x14ac:dyDescent="0.25">
      <c r="E968" t="s">
        <v>29</v>
      </c>
      <c r="F968" t="str">
        <f>VLOOKUP(E968,dimensao_bairro!A:B,2,FALSE)</f>
        <v>Portão</v>
      </c>
    </row>
    <row r="969" spans="5:6" x14ac:dyDescent="0.25">
      <c r="E969" t="s">
        <v>5</v>
      </c>
      <c r="F969" t="str">
        <f>VLOOKUP(E969,dimensao_bairro!A:B,2,FALSE)</f>
        <v>Portão</v>
      </c>
    </row>
    <row r="970" spans="5:6" x14ac:dyDescent="0.25">
      <c r="E970" t="s">
        <v>11</v>
      </c>
      <c r="F970" t="str">
        <f>VLOOKUP(E970,dimensao_bairro!A:B,2,FALSE)</f>
        <v>Boqueirão</v>
      </c>
    </row>
    <row r="971" spans="5:6" x14ac:dyDescent="0.25">
      <c r="E971" t="s">
        <v>11</v>
      </c>
      <c r="F971" t="str">
        <f>VLOOKUP(E971,dimensao_bairro!A:B,2,FALSE)</f>
        <v>Boqueirão</v>
      </c>
    </row>
    <row r="972" spans="5:6" x14ac:dyDescent="0.25">
      <c r="E972" t="s">
        <v>11</v>
      </c>
      <c r="F972" t="str">
        <f>VLOOKUP(E972,dimensao_bairro!A:B,2,FALSE)</f>
        <v>Boqueirão</v>
      </c>
    </row>
    <row r="973" spans="5:6" x14ac:dyDescent="0.25">
      <c r="E973" t="s">
        <v>55</v>
      </c>
      <c r="F973" t="e">
        <f>VLOOKUP(E973,dimensao_bairro!A:B,2,FALSE)</f>
        <v>#N/A</v>
      </c>
    </row>
    <row r="974" spans="5:6" x14ac:dyDescent="0.25">
      <c r="E974" t="s">
        <v>25</v>
      </c>
      <c r="F974" t="str">
        <f>VLOOKUP(E974,dimensao_bairro!A:B,2,FALSE)</f>
        <v>Cajuru</v>
      </c>
    </row>
    <row r="975" spans="5:6" x14ac:dyDescent="0.25">
      <c r="E975" t="s">
        <v>11</v>
      </c>
      <c r="F975" t="str">
        <f>VLOOKUP(E975,dimensao_bairro!A:B,2,FALSE)</f>
        <v>Boqueirão</v>
      </c>
    </row>
    <row r="976" spans="5:6" x14ac:dyDescent="0.25">
      <c r="E976" t="s">
        <v>23</v>
      </c>
      <c r="F976" t="str">
        <f>VLOOKUP(E976,dimensao_bairro!A:B,2,FALSE)</f>
        <v>Boqueirão</v>
      </c>
    </row>
    <row r="977" spans="5:6" x14ac:dyDescent="0.25">
      <c r="E977" t="s">
        <v>15</v>
      </c>
      <c r="F977" t="str">
        <f>VLOOKUP(E977,dimensao_bairro!A:B,2,FALSE)</f>
        <v>Boqueirão</v>
      </c>
    </row>
    <row r="978" spans="5:6" x14ac:dyDescent="0.25">
      <c r="E978" t="s">
        <v>11</v>
      </c>
      <c r="F978" t="str">
        <f>VLOOKUP(E978,dimensao_bairro!A:B,2,FALSE)</f>
        <v>Boqueirão</v>
      </c>
    </row>
    <row r="979" spans="5:6" x14ac:dyDescent="0.25">
      <c r="E979" t="s">
        <v>11</v>
      </c>
      <c r="F979" t="str">
        <f>VLOOKUP(E979,dimensao_bairro!A:B,2,FALSE)</f>
        <v>Boqueirão</v>
      </c>
    </row>
    <row r="980" spans="5:6" x14ac:dyDescent="0.25">
      <c r="E980" t="s">
        <v>15</v>
      </c>
      <c r="F980" t="str">
        <f>VLOOKUP(E980,dimensao_bairro!A:B,2,FALSE)</f>
        <v>Boqueirão</v>
      </c>
    </row>
    <row r="981" spans="5:6" x14ac:dyDescent="0.25">
      <c r="E981" t="s">
        <v>10</v>
      </c>
      <c r="F981" t="str">
        <f>VLOOKUP(E981,dimensao_bairro!A:B,2,FALSE)</f>
        <v>Portão</v>
      </c>
    </row>
    <row r="982" spans="5:6" x14ac:dyDescent="0.25">
      <c r="E982" t="s">
        <v>15</v>
      </c>
      <c r="F982" t="str">
        <f>VLOOKUP(E982,dimensao_bairro!A:B,2,FALSE)</f>
        <v>Boqueirão</v>
      </c>
    </row>
    <row r="983" spans="5:6" x14ac:dyDescent="0.25">
      <c r="E983" t="s">
        <v>23</v>
      </c>
      <c r="F983" t="str">
        <f>VLOOKUP(E983,dimensao_bairro!A:B,2,FALSE)</f>
        <v>Boqueirão</v>
      </c>
    </row>
    <row r="984" spans="5:6" x14ac:dyDescent="0.25">
      <c r="E984" t="s">
        <v>15</v>
      </c>
      <c r="F984" t="str">
        <f>VLOOKUP(E984,dimensao_bairro!A:B,2,FALSE)</f>
        <v>Boqueirão</v>
      </c>
    </row>
    <row r="985" spans="5:6" x14ac:dyDescent="0.25">
      <c r="E985" t="s">
        <v>15</v>
      </c>
      <c r="F985" t="str">
        <f>VLOOKUP(E985,dimensao_bairro!A:B,2,FALSE)</f>
        <v>Boqueirão</v>
      </c>
    </row>
    <row r="986" spans="5:6" x14ac:dyDescent="0.25">
      <c r="E986" t="s">
        <v>25</v>
      </c>
      <c r="F986" t="str">
        <f>VLOOKUP(E986,dimensao_bairro!A:B,2,FALSE)</f>
        <v>Cajuru</v>
      </c>
    </row>
    <row r="987" spans="5:6" x14ac:dyDescent="0.25">
      <c r="E987" t="s">
        <v>11</v>
      </c>
      <c r="F987" t="str">
        <f>VLOOKUP(E987,dimensao_bairro!A:B,2,FALSE)</f>
        <v>Boqueirão</v>
      </c>
    </row>
    <row r="988" spans="5:6" x14ac:dyDescent="0.25">
      <c r="E988" t="s">
        <v>11</v>
      </c>
      <c r="F988" t="str">
        <f>VLOOKUP(E988,dimensao_bairro!A:B,2,FALSE)</f>
        <v>Boqueirão</v>
      </c>
    </row>
    <row r="989" spans="5:6" x14ac:dyDescent="0.25">
      <c r="E989" t="s">
        <v>11</v>
      </c>
      <c r="F989" t="str">
        <f>VLOOKUP(E989,dimensao_bairro!A:B,2,FALSE)</f>
        <v>Boqueirão</v>
      </c>
    </row>
    <row r="990" spans="5:6" x14ac:dyDescent="0.25">
      <c r="E990" t="s">
        <v>23</v>
      </c>
      <c r="F990" t="str">
        <f>VLOOKUP(E990,dimensao_bairro!A:B,2,FALSE)</f>
        <v>Boqueirão</v>
      </c>
    </row>
    <row r="991" spans="5:6" x14ac:dyDescent="0.25">
      <c r="E991" t="s">
        <v>11</v>
      </c>
      <c r="F991" t="str">
        <f>VLOOKUP(E991,dimensao_bairro!A:B,2,FALSE)</f>
        <v>Boqueirão</v>
      </c>
    </row>
    <row r="992" spans="5:6" x14ac:dyDescent="0.25">
      <c r="E992" t="s">
        <v>15</v>
      </c>
      <c r="F992" t="str">
        <f>VLOOKUP(E992,dimensao_bairro!A:B,2,FALSE)</f>
        <v>Boqueirão</v>
      </c>
    </row>
    <row r="993" spans="5:6" x14ac:dyDescent="0.25">
      <c r="E993" t="s">
        <v>11</v>
      </c>
      <c r="F993" t="str">
        <f>VLOOKUP(E993,dimensao_bairro!A:B,2,FALSE)</f>
        <v>Boqueirão</v>
      </c>
    </row>
    <row r="994" spans="5:6" x14ac:dyDescent="0.25">
      <c r="E994" t="s">
        <v>15</v>
      </c>
      <c r="F994" t="str">
        <f>VLOOKUP(E994,dimensao_bairro!A:B,2,FALSE)</f>
        <v>Boqueirão</v>
      </c>
    </row>
    <row r="995" spans="5:6" x14ac:dyDescent="0.25">
      <c r="E995" t="s">
        <v>16</v>
      </c>
      <c r="F995" t="str">
        <f>VLOOKUP(E995,dimensao_bairro!A:B,2,FALSE)</f>
        <v>Bairro Novo</v>
      </c>
    </row>
    <row r="996" spans="5:6" x14ac:dyDescent="0.25">
      <c r="E996" t="s">
        <v>15</v>
      </c>
      <c r="F996" t="str">
        <f>VLOOKUP(E996,dimensao_bairro!A:B,2,FALSE)</f>
        <v>Boqueirão</v>
      </c>
    </row>
    <row r="997" spans="5:6" x14ac:dyDescent="0.25">
      <c r="E997" t="s">
        <v>15</v>
      </c>
      <c r="F997" t="str">
        <f>VLOOKUP(E997,dimensao_bairro!A:B,2,FALSE)</f>
        <v>Boqueirão</v>
      </c>
    </row>
    <row r="998" spans="5:6" x14ac:dyDescent="0.25">
      <c r="E998" t="s">
        <v>11</v>
      </c>
      <c r="F998" t="str">
        <f>VLOOKUP(E998,dimensao_bairro!A:B,2,FALSE)</f>
        <v>Boqueirão</v>
      </c>
    </row>
    <row r="999" spans="5:6" x14ac:dyDescent="0.25">
      <c r="E999" t="s">
        <v>15</v>
      </c>
      <c r="F999" t="str">
        <f>VLOOKUP(E999,dimensao_bairro!A:B,2,FALSE)</f>
        <v>Boqueirão</v>
      </c>
    </row>
    <row r="1000" spans="5:6" x14ac:dyDescent="0.25">
      <c r="E1000" t="s">
        <v>15</v>
      </c>
      <c r="F1000" t="str">
        <f>VLOOKUP(E1000,dimensao_bairro!A:B,2,FALSE)</f>
        <v>Boqueirão</v>
      </c>
    </row>
    <row r="1001" spans="5:6" x14ac:dyDescent="0.25">
      <c r="E1001" t="s">
        <v>23</v>
      </c>
      <c r="F1001" t="str">
        <f>VLOOKUP(E1001,dimensao_bairro!A:B,2,FALSE)</f>
        <v>Boqueirão</v>
      </c>
    </row>
    <row r="1002" spans="5:6" x14ac:dyDescent="0.25">
      <c r="E1002" t="s">
        <v>16</v>
      </c>
      <c r="F1002" t="str">
        <f>VLOOKUP(E1002,dimensao_bairro!A:B,2,FALSE)</f>
        <v>Bairro Novo</v>
      </c>
    </row>
    <row r="1003" spans="5:6" x14ac:dyDescent="0.25">
      <c r="E1003" t="s">
        <v>16</v>
      </c>
      <c r="F1003" t="str">
        <f>VLOOKUP(E1003,dimensao_bairro!A:B,2,FALSE)</f>
        <v>Bairro Novo</v>
      </c>
    </row>
    <row r="1004" spans="5:6" x14ac:dyDescent="0.25">
      <c r="E1004" t="s">
        <v>23</v>
      </c>
      <c r="F1004" t="str">
        <f>VLOOKUP(E1004,dimensao_bairro!A:B,2,FALSE)</f>
        <v>Boqueirão</v>
      </c>
    </row>
    <row r="1005" spans="5:6" x14ac:dyDescent="0.25">
      <c r="E1005" t="s">
        <v>12</v>
      </c>
      <c r="F1005" t="str">
        <f>VLOOKUP(E1005,dimensao_bairro!A:B,2,FALSE)</f>
        <v>Portão</v>
      </c>
    </row>
    <row r="1006" spans="5:6" x14ac:dyDescent="0.25">
      <c r="E1006" t="s">
        <v>11</v>
      </c>
      <c r="F1006" t="str">
        <f>VLOOKUP(E1006,dimensao_bairro!A:B,2,FALSE)</f>
        <v>Boqueirão</v>
      </c>
    </row>
    <row r="1007" spans="5:6" x14ac:dyDescent="0.25">
      <c r="E1007" t="s">
        <v>8</v>
      </c>
      <c r="F1007" t="str">
        <f>VLOOKUP(E1007,dimensao_bairro!A:B,2,FALSE)</f>
        <v>Portão</v>
      </c>
    </row>
    <row r="1008" spans="5:6" x14ac:dyDescent="0.25">
      <c r="E1008" t="s">
        <v>26</v>
      </c>
      <c r="F1008" t="str">
        <f>VLOOKUP(E1008,dimensao_bairro!A:B,2,FALSE)</f>
        <v>Portão</v>
      </c>
    </row>
    <row r="1009" spans="5:6" x14ac:dyDescent="0.25">
      <c r="E1009" t="s">
        <v>16</v>
      </c>
      <c r="F1009" t="str">
        <f>VLOOKUP(E1009,dimensao_bairro!A:B,2,FALSE)</f>
        <v>Bairro Novo</v>
      </c>
    </row>
    <row r="1010" spans="5:6" x14ac:dyDescent="0.25">
      <c r="E1010" t="s">
        <v>16</v>
      </c>
      <c r="F1010" t="str">
        <f>VLOOKUP(E1010,dimensao_bairro!A:B,2,FALSE)</f>
        <v>Bairro Novo</v>
      </c>
    </row>
    <row r="1011" spans="5:6" x14ac:dyDescent="0.25">
      <c r="E1011" t="s">
        <v>16</v>
      </c>
      <c r="F1011" t="str">
        <f>VLOOKUP(E1011,dimensao_bairro!A:B,2,FALSE)</f>
        <v>Bairro Novo</v>
      </c>
    </row>
    <row r="1012" spans="5:6" x14ac:dyDescent="0.25">
      <c r="E1012" t="s">
        <v>16</v>
      </c>
      <c r="F1012" t="str">
        <f>VLOOKUP(E1012,dimensao_bairro!A:B,2,FALSE)</f>
        <v>Bairro Novo</v>
      </c>
    </row>
    <row r="1013" spans="5:6" x14ac:dyDescent="0.25">
      <c r="E1013" t="s">
        <v>23</v>
      </c>
      <c r="F1013" t="str">
        <f>VLOOKUP(E1013,dimensao_bairro!A:B,2,FALSE)</f>
        <v>Boqueirão</v>
      </c>
    </row>
    <row r="1014" spans="5:6" x14ac:dyDescent="0.25">
      <c r="E1014" t="s">
        <v>23</v>
      </c>
      <c r="F1014" t="str">
        <f>VLOOKUP(E1014,dimensao_bairro!A:B,2,FALSE)</f>
        <v>Boqueirão</v>
      </c>
    </row>
    <row r="1015" spans="5:6" x14ac:dyDescent="0.25">
      <c r="E1015" t="s">
        <v>23</v>
      </c>
      <c r="F1015" t="str">
        <f>VLOOKUP(E1015,dimensao_bairro!A:B,2,FALSE)</f>
        <v>Boqueirão</v>
      </c>
    </row>
    <row r="1016" spans="5:6" x14ac:dyDescent="0.25">
      <c r="E1016" t="s">
        <v>27</v>
      </c>
      <c r="F1016" t="str">
        <f>VLOOKUP(E1016,dimensao_bairro!A:B,2,FALSE)</f>
        <v>Pinheirinho</v>
      </c>
    </row>
    <row r="1017" spans="5:6" x14ac:dyDescent="0.25">
      <c r="E1017" t="s">
        <v>9</v>
      </c>
      <c r="F1017" t="str">
        <f>VLOOKUP(E1017,dimensao_bairro!A:B,2,FALSE)</f>
        <v>Portão</v>
      </c>
    </row>
    <row r="1018" spans="5:6" x14ac:dyDescent="0.25">
      <c r="E1018" t="s">
        <v>26</v>
      </c>
      <c r="F1018" t="str">
        <f>VLOOKUP(E1018,dimensao_bairro!A:B,2,FALSE)</f>
        <v>Portão</v>
      </c>
    </row>
    <row r="1019" spans="5:6" x14ac:dyDescent="0.25">
      <c r="E1019" t="s">
        <v>10</v>
      </c>
      <c r="F1019" t="str">
        <f>VLOOKUP(E1019,dimensao_bairro!A:B,2,FALSE)</f>
        <v>Portão</v>
      </c>
    </row>
    <row r="1020" spans="5:6" x14ac:dyDescent="0.25">
      <c r="E1020" t="s">
        <v>26</v>
      </c>
      <c r="F1020" t="str">
        <f>VLOOKUP(E1020,dimensao_bairro!A:B,2,FALSE)</f>
        <v>Portão</v>
      </c>
    </row>
    <row r="1021" spans="5:6" x14ac:dyDescent="0.25">
      <c r="E1021" t="s">
        <v>26</v>
      </c>
      <c r="F1021" t="str">
        <f>VLOOKUP(E1021,dimensao_bairro!A:B,2,FALSE)</f>
        <v>Portão</v>
      </c>
    </row>
    <row r="1022" spans="5:6" x14ac:dyDescent="0.25">
      <c r="E1022" t="s">
        <v>8</v>
      </c>
      <c r="F1022" t="str">
        <f>VLOOKUP(E1022,dimensao_bairro!A:B,2,FALSE)</f>
        <v>Portão</v>
      </c>
    </row>
    <row r="1023" spans="5:6" x14ac:dyDescent="0.25">
      <c r="E1023" t="s">
        <v>26</v>
      </c>
      <c r="F1023" t="str">
        <f>VLOOKUP(E1023,dimensao_bairro!A:B,2,FALSE)</f>
        <v>Portão</v>
      </c>
    </row>
    <row r="1024" spans="5:6" x14ac:dyDescent="0.25">
      <c r="E1024" t="s">
        <v>5</v>
      </c>
      <c r="F1024" t="str">
        <f>VLOOKUP(E1024,dimensao_bairro!A:B,2,FALSE)</f>
        <v>Portão</v>
      </c>
    </row>
    <row r="1025" spans="5:6" x14ac:dyDescent="0.25">
      <c r="E1025" t="s">
        <v>12</v>
      </c>
      <c r="F1025" t="str">
        <f>VLOOKUP(E1025,dimensao_bairro!A:B,2,FALSE)</f>
        <v>Portão</v>
      </c>
    </row>
    <row r="1026" spans="5:6" x14ac:dyDescent="0.25">
      <c r="E1026" t="s">
        <v>9</v>
      </c>
      <c r="F1026" t="str">
        <f>VLOOKUP(E1026,dimensao_bairro!A:B,2,FALSE)</f>
        <v>Portão</v>
      </c>
    </row>
    <row r="1027" spans="5:6" x14ac:dyDescent="0.25">
      <c r="E1027" t="s">
        <v>6</v>
      </c>
      <c r="F1027" t="str">
        <f>VLOOKUP(E1027,dimensao_bairro!A:B,2,FALSE)</f>
        <v>Portão</v>
      </c>
    </row>
    <row r="1028" spans="5:6" x14ac:dyDescent="0.25">
      <c r="E1028" t="s">
        <v>26</v>
      </c>
      <c r="F1028" t="str">
        <f>VLOOKUP(E1028,dimensao_bairro!A:B,2,FALSE)</f>
        <v>Portão</v>
      </c>
    </row>
    <row r="1029" spans="5:6" x14ac:dyDescent="0.25">
      <c r="E1029" t="s">
        <v>9</v>
      </c>
      <c r="F1029" t="str">
        <f>VLOOKUP(E1029,dimensao_bairro!A:B,2,FALSE)</f>
        <v>Portão</v>
      </c>
    </row>
    <row r="1030" spans="5:6" x14ac:dyDescent="0.25">
      <c r="E1030" t="s">
        <v>12</v>
      </c>
      <c r="F1030" t="str">
        <f>VLOOKUP(E1030,dimensao_bairro!A:B,2,FALSE)</f>
        <v>Portão</v>
      </c>
    </row>
    <row r="1031" spans="5:6" x14ac:dyDescent="0.25">
      <c r="E1031" t="s">
        <v>5</v>
      </c>
      <c r="F1031" t="str">
        <f>VLOOKUP(E1031,dimensao_bairro!A:B,2,FALSE)</f>
        <v>Portão</v>
      </c>
    </row>
    <row r="1032" spans="5:6" x14ac:dyDescent="0.25">
      <c r="E1032" t="s">
        <v>8</v>
      </c>
      <c r="F1032" t="str">
        <f>VLOOKUP(E1032,dimensao_bairro!A:B,2,FALSE)</f>
        <v>Portão</v>
      </c>
    </row>
    <row r="1033" spans="5:6" x14ac:dyDescent="0.25">
      <c r="E1033" t="s">
        <v>26</v>
      </c>
      <c r="F1033" t="str">
        <f>VLOOKUP(E1033,dimensao_bairro!A:B,2,FALSE)</f>
        <v>Portão</v>
      </c>
    </row>
    <row r="1034" spans="5:6" x14ac:dyDescent="0.25">
      <c r="E1034" t="s">
        <v>26</v>
      </c>
      <c r="F1034" t="str">
        <f>VLOOKUP(E1034,dimensao_bairro!A:B,2,FALSE)</f>
        <v>Portão</v>
      </c>
    </row>
    <row r="1035" spans="5:6" x14ac:dyDescent="0.25">
      <c r="E1035" t="s">
        <v>10</v>
      </c>
      <c r="F1035" t="str">
        <f>VLOOKUP(E1035,dimensao_bairro!A:B,2,FALSE)</f>
        <v>Portão</v>
      </c>
    </row>
    <row r="1036" spans="5:6" x14ac:dyDescent="0.25">
      <c r="E1036" t="s">
        <v>6</v>
      </c>
      <c r="F1036" t="str">
        <f>VLOOKUP(E1036,dimensao_bairro!A:B,2,FALSE)</f>
        <v>Portão</v>
      </c>
    </row>
    <row r="1037" spans="5:6" x14ac:dyDescent="0.25">
      <c r="E1037" t="s">
        <v>6</v>
      </c>
      <c r="F1037" t="str">
        <f>VLOOKUP(E1037,dimensao_bairro!A:B,2,FALSE)</f>
        <v>Portão</v>
      </c>
    </row>
    <row r="1038" spans="5:6" x14ac:dyDescent="0.25">
      <c r="E1038" t="s">
        <v>8</v>
      </c>
      <c r="F1038" t="str">
        <f>VLOOKUP(E1038,dimensao_bairro!A:B,2,FALSE)</f>
        <v>Portão</v>
      </c>
    </row>
    <row r="1039" spans="5:6" x14ac:dyDescent="0.25">
      <c r="E1039" t="s">
        <v>6</v>
      </c>
      <c r="F1039" t="str">
        <f>VLOOKUP(E1039,dimensao_bairro!A:B,2,FALSE)</f>
        <v>Portão</v>
      </c>
    </row>
    <row r="1040" spans="5:6" x14ac:dyDescent="0.25">
      <c r="E1040" t="s">
        <v>36</v>
      </c>
      <c r="F1040" t="str">
        <f>VLOOKUP(E1040,dimensao_bairro!A:B,2,FALSE)</f>
        <v>Portão</v>
      </c>
    </row>
    <row r="1041" spans="5:6" x14ac:dyDescent="0.25">
      <c r="E1041" t="s">
        <v>9</v>
      </c>
      <c r="F1041" t="str">
        <f>VLOOKUP(E1041,dimensao_bairro!A:B,2,FALSE)</f>
        <v>Portão</v>
      </c>
    </row>
    <row r="1042" spans="5:6" x14ac:dyDescent="0.25">
      <c r="E1042" t="s">
        <v>6</v>
      </c>
      <c r="F1042" t="str">
        <f>VLOOKUP(E1042,dimensao_bairro!A:B,2,FALSE)</f>
        <v>Portão</v>
      </c>
    </row>
    <row r="1043" spans="5:6" x14ac:dyDescent="0.25">
      <c r="E1043" t="s">
        <v>5</v>
      </c>
      <c r="F1043" t="str">
        <f>VLOOKUP(E1043,dimensao_bairro!A:B,2,FALSE)</f>
        <v>Portão</v>
      </c>
    </row>
    <row r="1044" spans="5:6" x14ac:dyDescent="0.25">
      <c r="E1044" t="s">
        <v>9</v>
      </c>
      <c r="F1044" t="str">
        <f>VLOOKUP(E1044,dimensao_bairro!A:B,2,FALSE)</f>
        <v>Portão</v>
      </c>
    </row>
    <row r="1045" spans="5:6" x14ac:dyDescent="0.25">
      <c r="E1045" t="s">
        <v>38</v>
      </c>
      <c r="F1045" t="str">
        <f>VLOOKUP(E1045,dimensao_bairro!A:B,2,FALSE)</f>
        <v>Matriz</v>
      </c>
    </row>
    <row r="1046" spans="5:6" x14ac:dyDescent="0.25">
      <c r="E1046" t="s">
        <v>27</v>
      </c>
      <c r="F1046" t="str">
        <f>VLOOKUP(E1046,dimensao_bairro!A:B,2,FALSE)</f>
        <v>Pinheirinho</v>
      </c>
    </row>
    <row r="1047" spans="5:6" x14ac:dyDescent="0.25">
      <c r="E1047" t="s">
        <v>20</v>
      </c>
      <c r="F1047" t="str">
        <f>VLOOKUP(E1047,dimensao_bairro!A:B,2,FALSE)</f>
        <v>Matriz</v>
      </c>
    </row>
    <row r="1048" spans="5:6" x14ac:dyDescent="0.25">
      <c r="E1048" t="s">
        <v>13</v>
      </c>
      <c r="F1048" t="str">
        <f>VLOOKUP(E1048,dimensao_bairro!A:B,2,FALSE)</f>
        <v>Matriz</v>
      </c>
    </row>
    <row r="1049" spans="5:6" x14ac:dyDescent="0.25">
      <c r="E1049" t="s">
        <v>26</v>
      </c>
      <c r="F1049" t="str">
        <f>VLOOKUP(E1049,dimensao_bairro!A:B,2,FALSE)</f>
        <v>Portão</v>
      </c>
    </row>
    <row r="1050" spans="5:6" x14ac:dyDescent="0.25">
      <c r="E1050" t="s">
        <v>26</v>
      </c>
      <c r="F1050" t="str">
        <f>VLOOKUP(E1050,dimensao_bairro!A:B,2,FALSE)</f>
        <v>Portão</v>
      </c>
    </row>
    <row r="1051" spans="5:6" x14ac:dyDescent="0.25">
      <c r="E1051" t="s">
        <v>8</v>
      </c>
      <c r="F1051" t="str">
        <f>VLOOKUP(E1051,dimensao_bairro!A:B,2,FALSE)</f>
        <v>Portão</v>
      </c>
    </row>
    <row r="1052" spans="5:6" x14ac:dyDescent="0.25">
      <c r="E1052" t="s">
        <v>8</v>
      </c>
      <c r="F1052" t="str">
        <f>VLOOKUP(E1052,dimensao_bairro!A:B,2,FALSE)</f>
        <v>Portão</v>
      </c>
    </row>
    <row r="1053" spans="5:6" x14ac:dyDescent="0.25">
      <c r="E1053" t="s">
        <v>13</v>
      </c>
      <c r="F1053" t="str">
        <f>VLOOKUP(E1053,dimensao_bairro!A:B,2,FALSE)</f>
        <v>Matriz</v>
      </c>
    </row>
    <row r="1054" spans="5:6" x14ac:dyDescent="0.25">
      <c r="E1054" t="s">
        <v>12</v>
      </c>
      <c r="F1054" t="str">
        <f>VLOOKUP(E1054,dimensao_bairro!A:B,2,FALSE)</f>
        <v>Portão</v>
      </c>
    </row>
    <row r="1055" spans="5:6" x14ac:dyDescent="0.25">
      <c r="E1055" t="s">
        <v>5</v>
      </c>
      <c r="F1055" t="str">
        <f>VLOOKUP(E1055,dimensao_bairro!A:B,2,FALSE)</f>
        <v>Portão</v>
      </c>
    </row>
    <row r="1056" spans="5:6" x14ac:dyDescent="0.25">
      <c r="E1056" t="s">
        <v>8</v>
      </c>
      <c r="F1056" t="str">
        <f>VLOOKUP(E1056,dimensao_bairro!A:B,2,FALSE)</f>
        <v>Portão</v>
      </c>
    </row>
    <row r="1057" spans="5:6" x14ac:dyDescent="0.25">
      <c r="E1057" t="s">
        <v>10</v>
      </c>
      <c r="F1057" t="str">
        <f>VLOOKUP(E1057,dimensao_bairro!A:B,2,FALSE)</f>
        <v>Portão</v>
      </c>
    </row>
    <row r="1058" spans="5:6" x14ac:dyDescent="0.25">
      <c r="E1058" t="s">
        <v>6</v>
      </c>
      <c r="F1058" t="str">
        <f>VLOOKUP(E1058,dimensao_bairro!A:B,2,FALSE)</f>
        <v>Portão</v>
      </c>
    </row>
    <row r="1059" spans="5:6" x14ac:dyDescent="0.25">
      <c r="E1059" t="s">
        <v>6</v>
      </c>
      <c r="F1059" t="str">
        <f>VLOOKUP(E1059,dimensao_bairro!A:B,2,FALSE)</f>
        <v>Portão</v>
      </c>
    </row>
    <row r="1060" spans="5:6" x14ac:dyDescent="0.25">
      <c r="E1060" t="s">
        <v>20</v>
      </c>
      <c r="F1060" t="str">
        <f>VLOOKUP(E1060,dimensao_bairro!A:B,2,FALSE)</f>
        <v>Matriz</v>
      </c>
    </row>
    <row r="1061" spans="5:6" x14ac:dyDescent="0.25">
      <c r="E1061" t="s">
        <v>26</v>
      </c>
      <c r="F1061" t="str">
        <f>VLOOKUP(E1061,dimensao_bairro!A:B,2,FALSE)</f>
        <v>Portão</v>
      </c>
    </row>
    <row r="1062" spans="5:6" x14ac:dyDescent="0.25">
      <c r="E1062" t="s">
        <v>12</v>
      </c>
      <c r="F1062" t="str">
        <f>VLOOKUP(E1062,dimensao_bairro!A:B,2,FALSE)</f>
        <v>Portão</v>
      </c>
    </row>
    <row r="1063" spans="5:6" x14ac:dyDescent="0.25">
      <c r="E1063" t="s">
        <v>20</v>
      </c>
      <c r="F1063" t="str">
        <f>VLOOKUP(E1063,dimensao_bairro!A:B,2,FALSE)</f>
        <v>Matriz</v>
      </c>
    </row>
    <row r="1064" spans="5:6" x14ac:dyDescent="0.25">
      <c r="E1064" t="s">
        <v>13</v>
      </c>
      <c r="F1064" t="str">
        <f>VLOOKUP(E1064,dimensao_bairro!A:B,2,FALSE)</f>
        <v>Matriz</v>
      </c>
    </row>
    <row r="1065" spans="5:6" x14ac:dyDescent="0.25">
      <c r="E1065" t="s">
        <v>13</v>
      </c>
      <c r="F1065" t="str">
        <f>VLOOKUP(E1065,dimensao_bairro!A:B,2,FALSE)</f>
        <v>Matriz</v>
      </c>
    </row>
    <row r="1066" spans="5:6" x14ac:dyDescent="0.25">
      <c r="E1066" t="s">
        <v>20</v>
      </c>
      <c r="F1066" t="str">
        <f>VLOOKUP(E1066,dimensao_bairro!A:B,2,FALSE)</f>
        <v>Matriz</v>
      </c>
    </row>
    <row r="1067" spans="5:6" x14ac:dyDescent="0.25">
      <c r="E1067" t="s">
        <v>9</v>
      </c>
      <c r="F1067" t="str">
        <f>VLOOKUP(E1067,dimensao_bairro!A:B,2,FALSE)</f>
        <v>Portão</v>
      </c>
    </row>
    <row r="1068" spans="5:6" x14ac:dyDescent="0.25">
      <c r="E1068" t="s">
        <v>10</v>
      </c>
      <c r="F1068" t="str">
        <f>VLOOKUP(E1068,dimensao_bairro!A:B,2,FALSE)</f>
        <v>Portão</v>
      </c>
    </row>
    <row r="1069" spans="5:6" x14ac:dyDescent="0.25">
      <c r="E1069" t="s">
        <v>13</v>
      </c>
      <c r="F1069" t="str">
        <f>VLOOKUP(E1069,dimensao_bairro!A:B,2,FALSE)</f>
        <v>Matriz</v>
      </c>
    </row>
    <row r="1070" spans="5:6" x14ac:dyDescent="0.25">
      <c r="E1070" t="s">
        <v>22</v>
      </c>
      <c r="F1070" t="str">
        <f>VLOOKUP(E1070,dimensao_bairro!A:B,2,FALSE)</f>
        <v>Matriz</v>
      </c>
    </row>
    <row r="1071" spans="5:6" x14ac:dyDescent="0.25">
      <c r="E1071" t="s">
        <v>12</v>
      </c>
      <c r="F1071" t="str">
        <f>VLOOKUP(E1071,dimensao_bairro!A:B,2,FALSE)</f>
        <v>Portão</v>
      </c>
    </row>
    <row r="1072" spans="5:6" x14ac:dyDescent="0.25">
      <c r="E1072" t="s">
        <v>26</v>
      </c>
      <c r="F1072" t="str">
        <f>VLOOKUP(E1072,dimensao_bairro!A:B,2,FALSE)</f>
        <v>Portão</v>
      </c>
    </row>
    <row r="1073" spans="5:6" x14ac:dyDescent="0.25">
      <c r="E1073" t="s">
        <v>26</v>
      </c>
      <c r="F1073" t="str">
        <f>VLOOKUP(E1073,dimensao_bairro!A:B,2,FALSE)</f>
        <v>Portão</v>
      </c>
    </row>
    <row r="1074" spans="5:6" x14ac:dyDescent="0.25">
      <c r="E1074" t="s">
        <v>9</v>
      </c>
      <c r="F1074" t="str">
        <f>VLOOKUP(E1074,dimensao_bairro!A:B,2,FALSE)</f>
        <v>Portão</v>
      </c>
    </row>
    <row r="1075" spans="5:6" x14ac:dyDescent="0.25">
      <c r="E1075" t="s">
        <v>38</v>
      </c>
      <c r="F1075" t="str">
        <f>VLOOKUP(E1075,dimensao_bairro!A:B,2,FALSE)</f>
        <v>Matriz</v>
      </c>
    </row>
    <row r="1076" spans="5:6" x14ac:dyDescent="0.25">
      <c r="E1076" t="s">
        <v>22</v>
      </c>
      <c r="F1076" t="str">
        <f>VLOOKUP(E1076,dimensao_bairro!A:B,2,FALSE)</f>
        <v>Matriz</v>
      </c>
    </row>
    <row r="1077" spans="5:6" x14ac:dyDescent="0.25">
      <c r="E1077" t="s">
        <v>13</v>
      </c>
      <c r="F1077" t="str">
        <f>VLOOKUP(E1077,dimensao_bairro!A:B,2,FALSE)</f>
        <v>Matriz</v>
      </c>
    </row>
    <row r="1078" spans="5:6" x14ac:dyDescent="0.25">
      <c r="E1078" t="s">
        <v>26</v>
      </c>
      <c r="F1078" t="str">
        <f>VLOOKUP(E1078,dimensao_bairro!A:B,2,FALSE)</f>
        <v>Portão</v>
      </c>
    </row>
    <row r="1079" spans="5:6" x14ac:dyDescent="0.25">
      <c r="E1079" t="s">
        <v>15</v>
      </c>
      <c r="F1079" t="str">
        <f>VLOOKUP(E1079,dimensao_bairro!A:B,2,FALSE)</f>
        <v>Boqueirão</v>
      </c>
    </row>
    <row r="1080" spans="5:6" x14ac:dyDescent="0.25">
      <c r="E1080" t="s">
        <v>23</v>
      </c>
      <c r="F1080" t="str">
        <f>VLOOKUP(E1080,dimensao_bairro!A:B,2,FALSE)</f>
        <v>Boqueirão</v>
      </c>
    </row>
    <row r="1081" spans="5:6" x14ac:dyDescent="0.25">
      <c r="E1081" t="s">
        <v>16</v>
      </c>
      <c r="F1081" t="str">
        <f>VLOOKUP(E1081,dimensao_bairro!A:B,2,FALSE)</f>
        <v>Bairro Novo</v>
      </c>
    </row>
    <row r="1082" spans="5:6" x14ac:dyDescent="0.25">
      <c r="E1082" t="s">
        <v>17</v>
      </c>
      <c r="F1082" t="str">
        <f>VLOOKUP(E1082,dimensao_bairro!A:B,2,FALSE)</f>
        <v>Boqueirão</v>
      </c>
    </row>
    <row r="1083" spans="5:6" x14ac:dyDescent="0.25">
      <c r="E1083" t="s">
        <v>17</v>
      </c>
      <c r="F1083" t="str">
        <f>VLOOKUP(E1083,dimensao_bairro!A:B,2,FALSE)</f>
        <v>Boqueirão</v>
      </c>
    </row>
    <row r="1084" spans="5:6" x14ac:dyDescent="0.25">
      <c r="E1084" t="s">
        <v>15</v>
      </c>
      <c r="F1084" t="str">
        <f>VLOOKUP(E1084,dimensao_bairro!A:B,2,FALSE)</f>
        <v>Boqueirão</v>
      </c>
    </row>
    <row r="1085" spans="5:6" x14ac:dyDescent="0.25">
      <c r="E1085" t="s">
        <v>15</v>
      </c>
      <c r="F1085" t="str">
        <f>VLOOKUP(E1085,dimensao_bairro!A:B,2,FALSE)</f>
        <v>Boqueirão</v>
      </c>
    </row>
    <row r="1086" spans="5:6" x14ac:dyDescent="0.25">
      <c r="E1086" t="s">
        <v>12</v>
      </c>
      <c r="F1086" t="str">
        <f>VLOOKUP(E1086,dimensao_bairro!A:B,2,FALSE)</f>
        <v>Portão</v>
      </c>
    </row>
    <row r="1087" spans="5:6" x14ac:dyDescent="0.25">
      <c r="E1087" t="s">
        <v>15</v>
      </c>
      <c r="F1087" t="str">
        <f>VLOOKUP(E1087,dimensao_bairro!A:B,2,FALSE)</f>
        <v>Boqueirão</v>
      </c>
    </row>
    <row r="1088" spans="5:6" x14ac:dyDescent="0.25">
      <c r="E1088" t="s">
        <v>23</v>
      </c>
      <c r="F1088" t="str">
        <f>VLOOKUP(E1088,dimensao_bairro!A:B,2,FALSE)</f>
        <v>Boqueirão</v>
      </c>
    </row>
    <row r="1089" spans="5:6" x14ac:dyDescent="0.25">
      <c r="E1089" t="s">
        <v>23</v>
      </c>
      <c r="F1089" t="str">
        <f>VLOOKUP(E1089,dimensao_bairro!A:B,2,FALSE)</f>
        <v>Boqueirão</v>
      </c>
    </row>
    <row r="1090" spans="5:6" x14ac:dyDescent="0.25">
      <c r="E1090" t="s">
        <v>17</v>
      </c>
      <c r="F1090" t="str">
        <f>VLOOKUP(E1090,dimensao_bairro!A:B,2,FALSE)</f>
        <v>Boqueirão</v>
      </c>
    </row>
    <row r="1091" spans="5:6" x14ac:dyDescent="0.25">
      <c r="E1091" t="s">
        <v>15</v>
      </c>
      <c r="F1091" t="str">
        <f>VLOOKUP(E1091,dimensao_bairro!A:B,2,FALSE)</f>
        <v>Boqueirão</v>
      </c>
    </row>
    <row r="1092" spans="5:6" x14ac:dyDescent="0.25">
      <c r="E1092" t="s">
        <v>15</v>
      </c>
      <c r="F1092" t="str">
        <f>VLOOKUP(E1092,dimensao_bairro!A:B,2,FALSE)</f>
        <v>Boqueirão</v>
      </c>
    </row>
    <row r="1093" spans="5:6" x14ac:dyDescent="0.25">
      <c r="E1093" t="s">
        <v>12</v>
      </c>
      <c r="F1093" t="str">
        <f>VLOOKUP(E1093,dimensao_bairro!A:B,2,FALSE)</f>
        <v>Portão</v>
      </c>
    </row>
    <row r="1094" spans="5:6" x14ac:dyDescent="0.25">
      <c r="E1094" t="s">
        <v>11</v>
      </c>
      <c r="F1094" t="str">
        <f>VLOOKUP(E1094,dimensao_bairro!A:B,2,FALSE)</f>
        <v>Boqueirão</v>
      </c>
    </row>
    <row r="1095" spans="5:6" x14ac:dyDescent="0.25">
      <c r="E1095" t="s">
        <v>8</v>
      </c>
      <c r="F1095" t="str">
        <f>VLOOKUP(E1095,dimensao_bairro!A:B,2,FALSE)</f>
        <v>Portão</v>
      </c>
    </row>
    <row r="1096" spans="5:6" x14ac:dyDescent="0.25">
      <c r="E1096" t="s">
        <v>26</v>
      </c>
      <c r="F1096" t="str">
        <f>VLOOKUP(E1096,dimensao_bairro!A:B,2,FALSE)</f>
        <v>Portão</v>
      </c>
    </row>
    <row r="1097" spans="5:6" x14ac:dyDescent="0.25">
      <c r="E1097" t="s">
        <v>23</v>
      </c>
      <c r="F1097" t="str">
        <f>VLOOKUP(E1097,dimensao_bairro!A:B,2,FALSE)</f>
        <v>Boqueirão</v>
      </c>
    </row>
    <row r="1098" spans="5:6" x14ac:dyDescent="0.25">
      <c r="E1098" t="s">
        <v>14</v>
      </c>
      <c r="F1098" t="str">
        <f>VLOOKUP(E1098,dimensao_bairro!A:B,2,FALSE)</f>
        <v>Cajuru</v>
      </c>
    </row>
    <row r="1099" spans="5:6" x14ac:dyDescent="0.25">
      <c r="E1099" t="s">
        <v>9</v>
      </c>
      <c r="F1099" t="str">
        <f>VLOOKUP(E1099,dimensao_bairro!A:B,2,FALSE)</f>
        <v>Portão</v>
      </c>
    </row>
    <row r="1100" spans="5:6" x14ac:dyDescent="0.25">
      <c r="E1100" t="s">
        <v>9</v>
      </c>
      <c r="F1100" t="str">
        <f>VLOOKUP(E1100,dimensao_bairro!A:B,2,FALSE)</f>
        <v>Portão</v>
      </c>
    </row>
    <row r="1101" spans="5:6" x14ac:dyDescent="0.25">
      <c r="E1101" t="s">
        <v>9</v>
      </c>
      <c r="F1101" t="str">
        <f>VLOOKUP(E1101,dimensao_bairro!A:B,2,FALSE)</f>
        <v>Portão</v>
      </c>
    </row>
    <row r="1102" spans="5:6" x14ac:dyDescent="0.25">
      <c r="E1102" t="s">
        <v>5</v>
      </c>
      <c r="F1102" t="str">
        <f>VLOOKUP(E1102,dimensao_bairro!A:B,2,FALSE)</f>
        <v>Portão</v>
      </c>
    </row>
    <row r="1103" spans="5:6" x14ac:dyDescent="0.25">
      <c r="E1103" t="s">
        <v>5</v>
      </c>
      <c r="F1103" t="str">
        <f>VLOOKUP(E1103,dimensao_bairro!A:B,2,FALSE)</f>
        <v>Portão</v>
      </c>
    </row>
    <row r="1104" spans="5:6" x14ac:dyDescent="0.25">
      <c r="E1104" t="s">
        <v>26</v>
      </c>
      <c r="F1104" t="str">
        <f>VLOOKUP(E1104,dimensao_bairro!A:B,2,FALSE)</f>
        <v>Portão</v>
      </c>
    </row>
    <row r="1105" spans="5:6" x14ac:dyDescent="0.25">
      <c r="E1105" t="s">
        <v>5</v>
      </c>
      <c r="F1105" t="str">
        <f>VLOOKUP(E1105,dimensao_bairro!A:B,2,FALSE)</f>
        <v>Portão</v>
      </c>
    </row>
    <row r="1106" spans="5:6" x14ac:dyDescent="0.25">
      <c r="E1106" t="s">
        <v>9</v>
      </c>
      <c r="F1106" t="str">
        <f>VLOOKUP(E1106,dimensao_bairro!A:B,2,FALSE)</f>
        <v>Portão</v>
      </c>
    </row>
    <row r="1107" spans="5:6" x14ac:dyDescent="0.25">
      <c r="E1107" t="s">
        <v>6</v>
      </c>
      <c r="F1107" t="str">
        <f>VLOOKUP(E1107,dimensao_bairro!A:B,2,FALSE)</f>
        <v>Portão</v>
      </c>
    </row>
    <row r="1108" spans="5:6" x14ac:dyDescent="0.25">
      <c r="E1108" t="s">
        <v>15</v>
      </c>
      <c r="F1108" t="str">
        <f>VLOOKUP(E1108,dimensao_bairro!A:B,2,FALSE)</f>
        <v>Boqueirão</v>
      </c>
    </row>
    <row r="1109" spans="5:6" x14ac:dyDescent="0.25">
      <c r="E1109" t="s">
        <v>6</v>
      </c>
      <c r="F1109" t="str">
        <f>VLOOKUP(E1109,dimensao_bairro!A:B,2,FALSE)</f>
        <v>Portão</v>
      </c>
    </row>
    <row r="1110" spans="5:6" x14ac:dyDescent="0.25">
      <c r="E1110" t="s">
        <v>26</v>
      </c>
      <c r="F1110" t="str">
        <f>VLOOKUP(E1110,dimensao_bairro!A:B,2,FALSE)</f>
        <v>Portão</v>
      </c>
    </row>
    <row r="1111" spans="5:6" x14ac:dyDescent="0.25">
      <c r="E1111" t="s">
        <v>15</v>
      </c>
      <c r="F1111" t="str">
        <f>VLOOKUP(E1111,dimensao_bairro!A:B,2,FALSE)</f>
        <v>Boqueirão</v>
      </c>
    </row>
    <row r="1112" spans="5:6" x14ac:dyDescent="0.25">
      <c r="E1112" t="s">
        <v>8</v>
      </c>
      <c r="F1112" t="str">
        <f>VLOOKUP(E1112,dimensao_bairro!A:B,2,FALSE)</f>
        <v>Portão</v>
      </c>
    </row>
    <row r="1113" spans="5:6" x14ac:dyDescent="0.25">
      <c r="E1113" t="s">
        <v>26</v>
      </c>
      <c r="F1113" t="str">
        <f>VLOOKUP(E1113,dimensao_bairro!A:B,2,FALSE)</f>
        <v>Portão</v>
      </c>
    </row>
    <row r="1114" spans="5:6" x14ac:dyDescent="0.25">
      <c r="E1114" t="s">
        <v>10</v>
      </c>
      <c r="F1114" t="str">
        <f>VLOOKUP(E1114,dimensao_bairro!A:B,2,FALSE)</f>
        <v>Portão</v>
      </c>
    </row>
    <row r="1115" spans="5:6" x14ac:dyDescent="0.25">
      <c r="E1115" t="s">
        <v>14</v>
      </c>
      <c r="F1115" t="str">
        <f>VLOOKUP(E1115,dimensao_bairro!A:B,2,FALSE)</f>
        <v>Cajuru</v>
      </c>
    </row>
    <row r="1116" spans="5:6" x14ac:dyDescent="0.25">
      <c r="E1116" t="s">
        <v>15</v>
      </c>
      <c r="F1116" t="str">
        <f>VLOOKUP(E1116,dimensao_bairro!A:B,2,FALSE)</f>
        <v>Boqueirão</v>
      </c>
    </row>
    <row r="1117" spans="5:6" x14ac:dyDescent="0.25">
      <c r="E1117" t="s">
        <v>10</v>
      </c>
      <c r="F1117" t="str">
        <f>VLOOKUP(E1117,dimensao_bairro!A:B,2,FALSE)</f>
        <v>Portão</v>
      </c>
    </row>
    <row r="1118" spans="5:6" x14ac:dyDescent="0.25">
      <c r="E1118" t="s">
        <v>14</v>
      </c>
      <c r="F1118" t="str">
        <f>VLOOKUP(E1118,dimensao_bairro!A:B,2,FALSE)</f>
        <v>Cajuru</v>
      </c>
    </row>
    <row r="1119" spans="5:6" x14ac:dyDescent="0.25">
      <c r="E1119" t="s">
        <v>14</v>
      </c>
      <c r="F1119" t="str">
        <f>VLOOKUP(E1119,dimensao_bairro!A:B,2,FALSE)</f>
        <v>Cajuru</v>
      </c>
    </row>
    <row r="1120" spans="5:6" x14ac:dyDescent="0.25">
      <c r="E1120" t="s">
        <v>6</v>
      </c>
      <c r="F1120" t="str">
        <f>VLOOKUP(E1120,dimensao_bairro!A:B,2,FALSE)</f>
        <v>Portão</v>
      </c>
    </row>
    <row r="1121" spans="5:6" x14ac:dyDescent="0.25">
      <c r="E1121" t="s">
        <v>9</v>
      </c>
      <c r="F1121" t="str">
        <f>VLOOKUP(E1121,dimensao_bairro!A:B,2,FALSE)</f>
        <v>Portão</v>
      </c>
    </row>
    <row r="1122" spans="5:6" x14ac:dyDescent="0.25">
      <c r="E1122" t="s">
        <v>5</v>
      </c>
      <c r="F1122" t="str">
        <f>VLOOKUP(E1122,dimensao_bairro!A:B,2,FALSE)</f>
        <v>Portão</v>
      </c>
    </row>
    <row r="1123" spans="5:6" x14ac:dyDescent="0.25">
      <c r="E1123" t="s">
        <v>26</v>
      </c>
      <c r="F1123" t="str">
        <f>VLOOKUP(E1123,dimensao_bairro!A:B,2,FALSE)</f>
        <v>Portão</v>
      </c>
    </row>
    <row r="1124" spans="5:6" x14ac:dyDescent="0.25">
      <c r="E1124" t="s">
        <v>13</v>
      </c>
      <c r="F1124" t="str">
        <f>VLOOKUP(E1124,dimensao_bairro!A:B,2,FALSE)</f>
        <v>Matriz</v>
      </c>
    </row>
    <row r="1125" spans="5:6" x14ac:dyDescent="0.25">
      <c r="E1125" t="s">
        <v>6</v>
      </c>
      <c r="F1125" t="str">
        <f>VLOOKUP(E1125,dimensao_bairro!A:B,2,FALSE)</f>
        <v>Portão</v>
      </c>
    </row>
    <row r="1126" spans="5:6" x14ac:dyDescent="0.25">
      <c r="E1126" t="s">
        <v>26</v>
      </c>
      <c r="F1126" t="str">
        <f>VLOOKUP(E1126,dimensao_bairro!A:B,2,FALSE)</f>
        <v>Portão</v>
      </c>
    </row>
    <row r="1127" spans="5:6" x14ac:dyDescent="0.25">
      <c r="E1127" t="s">
        <v>11</v>
      </c>
      <c r="F1127" t="str">
        <f>VLOOKUP(E1127,dimensao_bairro!A:B,2,FALSE)</f>
        <v>Boqueirão</v>
      </c>
    </row>
    <row r="1128" spans="5:6" x14ac:dyDescent="0.25">
      <c r="E1128" t="s">
        <v>9</v>
      </c>
      <c r="F1128" t="str">
        <f>VLOOKUP(E1128,dimensao_bairro!A:B,2,FALSE)</f>
        <v>Portão</v>
      </c>
    </row>
    <row r="1129" spans="5:6" x14ac:dyDescent="0.25">
      <c r="E1129" t="s">
        <v>12</v>
      </c>
      <c r="F1129" t="str">
        <f>VLOOKUP(E1129,dimensao_bairro!A:B,2,FALSE)</f>
        <v>Portão</v>
      </c>
    </row>
    <row r="1130" spans="5:6" x14ac:dyDescent="0.25">
      <c r="E1130" t="s">
        <v>10</v>
      </c>
      <c r="F1130" t="str">
        <f>VLOOKUP(E1130,dimensao_bairro!A:B,2,FALSE)</f>
        <v>Portão</v>
      </c>
    </row>
    <row r="1131" spans="5:6" x14ac:dyDescent="0.25">
      <c r="E1131" t="s">
        <v>9</v>
      </c>
      <c r="F1131" t="str">
        <f>VLOOKUP(E1131,dimensao_bairro!A:B,2,FALSE)</f>
        <v>Portão</v>
      </c>
    </row>
    <row r="1132" spans="5:6" x14ac:dyDescent="0.25">
      <c r="E1132" t="s">
        <v>5</v>
      </c>
      <c r="F1132" t="str">
        <f>VLOOKUP(E1132,dimensao_bairro!A:B,2,FALSE)</f>
        <v>Portão</v>
      </c>
    </row>
    <row r="1133" spans="5:6" x14ac:dyDescent="0.25">
      <c r="E1133" t="s">
        <v>6</v>
      </c>
      <c r="F1133" t="str">
        <f>VLOOKUP(E1133,dimensao_bairro!A:B,2,FALSE)</f>
        <v>Portão</v>
      </c>
    </row>
    <row r="1134" spans="5:6" x14ac:dyDescent="0.25">
      <c r="E1134" t="s">
        <v>11</v>
      </c>
      <c r="F1134" t="str">
        <f>VLOOKUP(E1134,dimensao_bairro!A:B,2,FALSE)</f>
        <v>Boqueirão</v>
      </c>
    </row>
    <row r="1135" spans="5:6" x14ac:dyDescent="0.25">
      <c r="E1135" t="s">
        <v>6</v>
      </c>
      <c r="F1135" t="str">
        <f>VLOOKUP(E1135,dimensao_bairro!A:B,2,FALSE)</f>
        <v>Portão</v>
      </c>
    </row>
    <row r="1136" spans="5:6" x14ac:dyDescent="0.25">
      <c r="E1136" t="s">
        <v>11</v>
      </c>
      <c r="F1136" t="str">
        <f>VLOOKUP(E1136,dimensao_bairro!A:B,2,FALSE)</f>
        <v>Boqueirão</v>
      </c>
    </row>
    <row r="1137" spans="5:6" x14ac:dyDescent="0.25">
      <c r="E1137" t="s">
        <v>6</v>
      </c>
      <c r="F1137" t="str">
        <f>VLOOKUP(E1137,dimensao_bairro!A:B,2,FALSE)</f>
        <v>Portão</v>
      </c>
    </row>
    <row r="1138" spans="5:6" x14ac:dyDescent="0.25">
      <c r="E1138" t="s">
        <v>6</v>
      </c>
      <c r="F1138" t="str">
        <f>VLOOKUP(E1138,dimensao_bairro!A:B,2,FALSE)</f>
        <v>Portão</v>
      </c>
    </row>
    <row r="1139" spans="5:6" x14ac:dyDescent="0.25">
      <c r="E1139" t="s">
        <v>9</v>
      </c>
      <c r="F1139" t="str">
        <f>VLOOKUP(E1139,dimensao_bairro!A:B,2,FALSE)</f>
        <v>Portão</v>
      </c>
    </row>
    <row r="1140" spans="5:6" x14ac:dyDescent="0.25">
      <c r="E1140" t="s">
        <v>15</v>
      </c>
      <c r="F1140" t="str">
        <f>VLOOKUP(E1140,dimensao_bairro!A:B,2,FALSE)</f>
        <v>Boqueirão</v>
      </c>
    </row>
    <row r="1141" spans="5:6" x14ac:dyDescent="0.25">
      <c r="E1141" t="s">
        <v>13</v>
      </c>
      <c r="F1141" t="str">
        <f>VLOOKUP(E1141,dimensao_bairro!A:B,2,FALSE)</f>
        <v>Matriz</v>
      </c>
    </row>
    <row r="1142" spans="5:6" x14ac:dyDescent="0.25">
      <c r="E1142" t="s">
        <v>9</v>
      </c>
      <c r="F1142" t="str">
        <f>VLOOKUP(E1142,dimensao_bairro!A:B,2,FALSE)</f>
        <v>Portão</v>
      </c>
    </row>
    <row r="1143" spans="5:6" x14ac:dyDescent="0.25">
      <c r="E1143" t="s">
        <v>17</v>
      </c>
      <c r="F1143" t="str">
        <f>VLOOKUP(E1143,dimensao_bairro!A:B,2,FALSE)</f>
        <v>Boqueirão</v>
      </c>
    </row>
    <row r="1144" spans="5:6" x14ac:dyDescent="0.25">
      <c r="E1144" t="s">
        <v>15</v>
      </c>
      <c r="F1144" t="str">
        <f>VLOOKUP(E1144,dimensao_bairro!A:B,2,FALSE)</f>
        <v>Boqueirão</v>
      </c>
    </row>
    <row r="1145" spans="5:6" x14ac:dyDescent="0.25">
      <c r="E1145" t="s">
        <v>10</v>
      </c>
      <c r="F1145" t="str">
        <f>VLOOKUP(E1145,dimensao_bairro!A:B,2,FALSE)</f>
        <v>Portão</v>
      </c>
    </row>
    <row r="1146" spans="5:6" x14ac:dyDescent="0.25">
      <c r="E1146" t="s">
        <v>20</v>
      </c>
      <c r="F1146" t="str">
        <f>VLOOKUP(E1146,dimensao_bairro!A:B,2,FALSE)</f>
        <v>Matriz</v>
      </c>
    </row>
  </sheetData>
  <autoFilter ref="A1:I1">
    <sortState ref="A2:G590">
      <sortCondition ref="B1"/>
    </sortState>
  </autoFilter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D5"/>
  <sheetViews>
    <sheetView workbookViewId="0">
      <selection activeCell="D3" sqref="D3"/>
    </sheetView>
  </sheetViews>
  <sheetFormatPr defaultRowHeight="15" x14ac:dyDescent="0.25"/>
  <cols>
    <col min="1" max="1" width="16.85546875" customWidth="1"/>
    <col min="2" max="2" width="12.5703125" customWidth="1"/>
    <col min="3" max="3" width="12.140625" customWidth="1"/>
    <col min="4" max="4" width="12.7109375" customWidth="1"/>
  </cols>
  <sheetData>
    <row r="1" spans="1:4" x14ac:dyDescent="0.25">
      <c r="A1" s="3" t="s">
        <v>63</v>
      </c>
      <c r="B1" t="s">
        <v>58</v>
      </c>
      <c r="C1" t="s">
        <v>57</v>
      </c>
      <c r="D1" t="s">
        <v>56</v>
      </c>
    </row>
    <row r="2" spans="1:4" x14ac:dyDescent="0.25">
      <c r="A2" s="4" t="s">
        <v>61</v>
      </c>
      <c r="B2" s="6">
        <v>252</v>
      </c>
      <c r="C2" s="6">
        <v>1777.7899999999995</v>
      </c>
      <c r="D2" s="6">
        <v>7.0547222222222201</v>
      </c>
    </row>
    <row r="3" spans="1:4" x14ac:dyDescent="0.25">
      <c r="A3" s="4" t="s">
        <v>62</v>
      </c>
      <c r="B3" s="6">
        <v>65</v>
      </c>
      <c r="C3" s="6">
        <v>1003.9100000000002</v>
      </c>
      <c r="D3" s="6">
        <v>15.444769230769234</v>
      </c>
    </row>
    <row r="4" spans="1:4" x14ac:dyDescent="0.25">
      <c r="A4" s="4" t="s">
        <v>59</v>
      </c>
      <c r="B4" s="6">
        <v>271</v>
      </c>
      <c r="C4" s="6">
        <v>2143.3999999999987</v>
      </c>
      <c r="D4" s="6">
        <v>7.9092250922509182</v>
      </c>
    </row>
    <row r="5" spans="1:4" x14ac:dyDescent="0.25">
      <c r="A5" s="4" t="s">
        <v>54</v>
      </c>
      <c r="B5" s="6">
        <v>588</v>
      </c>
      <c r="C5" s="6">
        <v>4925.100000000004</v>
      </c>
      <c r="D5" s="6">
        <v>8.3760204081632725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E5"/>
  <sheetViews>
    <sheetView workbookViewId="0">
      <selection activeCell="A27" sqref="A27"/>
    </sheetView>
  </sheetViews>
  <sheetFormatPr defaultRowHeight="15" x14ac:dyDescent="0.25"/>
  <cols>
    <col min="1" max="1" width="25.140625" bestFit="1" customWidth="1"/>
    <col min="2" max="2" width="19.5703125" bestFit="1" customWidth="1"/>
    <col min="3" max="3" width="6.140625" customWidth="1"/>
    <col min="4" max="4" width="6.7109375" customWidth="1"/>
    <col min="5" max="5" width="10.7109375" customWidth="1"/>
    <col min="6" max="6" width="10.7109375" bestFit="1" customWidth="1"/>
  </cols>
  <sheetData>
    <row r="1" spans="1:5" x14ac:dyDescent="0.25">
      <c r="A1" s="3" t="s">
        <v>68</v>
      </c>
      <c r="B1" s="3" t="s">
        <v>64</v>
      </c>
    </row>
    <row r="2" spans="1:5" x14ac:dyDescent="0.25">
      <c r="A2" s="3" t="s">
        <v>66</v>
      </c>
      <c r="B2" t="s">
        <v>61</v>
      </c>
      <c r="C2" t="s">
        <v>62</v>
      </c>
      <c r="D2" t="s">
        <v>59</v>
      </c>
      <c r="E2" t="s">
        <v>54</v>
      </c>
    </row>
    <row r="3" spans="1:5" x14ac:dyDescent="0.25">
      <c r="A3" s="4" t="s">
        <v>42</v>
      </c>
      <c r="B3" s="6">
        <v>79</v>
      </c>
      <c r="C3" s="6">
        <v>30</v>
      </c>
      <c r="D3" s="6">
        <v>95</v>
      </c>
      <c r="E3" s="6">
        <v>204</v>
      </c>
    </row>
    <row r="4" spans="1:5" x14ac:dyDescent="0.25">
      <c r="A4" s="4" t="s">
        <v>7</v>
      </c>
      <c r="B4" s="6">
        <v>173</v>
      </c>
      <c r="C4" s="6">
        <v>35</v>
      </c>
      <c r="D4" s="6">
        <v>176</v>
      </c>
      <c r="E4" s="6">
        <v>384</v>
      </c>
    </row>
    <row r="5" spans="1:5" x14ac:dyDescent="0.25">
      <c r="A5" s="4" t="s">
        <v>54</v>
      </c>
      <c r="B5" s="6">
        <v>252</v>
      </c>
      <c r="C5" s="6">
        <v>65</v>
      </c>
      <c r="D5" s="6">
        <v>271</v>
      </c>
      <c r="E5" s="6">
        <v>588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B353"/>
  <sheetViews>
    <sheetView workbookViewId="0">
      <selection activeCell="G25" sqref="G25"/>
    </sheetView>
  </sheetViews>
  <sheetFormatPr defaultRowHeight="15" x14ac:dyDescent="0.25"/>
  <cols>
    <col min="1" max="1" width="10.7109375" customWidth="1"/>
    <col min="2" max="2" width="12.5703125" bestFit="1" customWidth="1"/>
  </cols>
  <sheetData>
    <row r="1" spans="1:2" x14ac:dyDescent="0.25">
      <c r="A1" s="3" t="s">
        <v>69</v>
      </c>
      <c r="B1" t="s">
        <v>58</v>
      </c>
    </row>
    <row r="2" spans="1:2" x14ac:dyDescent="0.25">
      <c r="A2" s="7">
        <v>0.30694444444444441</v>
      </c>
      <c r="B2" s="6">
        <v>1</v>
      </c>
    </row>
    <row r="3" spans="1:2" x14ac:dyDescent="0.25">
      <c r="A3" s="7">
        <v>0.31041666666666667</v>
      </c>
      <c r="B3" s="6">
        <v>2</v>
      </c>
    </row>
    <row r="4" spans="1:2" x14ac:dyDescent="0.25">
      <c r="A4" s="7">
        <v>0.31180555555555556</v>
      </c>
      <c r="B4" s="6">
        <v>1</v>
      </c>
    </row>
    <row r="5" spans="1:2" x14ac:dyDescent="0.25">
      <c r="A5" s="7">
        <v>0.3125</v>
      </c>
      <c r="B5" s="6">
        <v>1</v>
      </c>
    </row>
    <row r="6" spans="1:2" x14ac:dyDescent="0.25">
      <c r="A6" s="7">
        <v>0.31319444444444444</v>
      </c>
      <c r="B6" s="6">
        <v>1</v>
      </c>
    </row>
    <row r="7" spans="1:2" x14ac:dyDescent="0.25">
      <c r="A7" s="7">
        <v>0.31388888888888888</v>
      </c>
      <c r="B7" s="6">
        <v>1</v>
      </c>
    </row>
    <row r="8" spans="1:2" x14ac:dyDescent="0.25">
      <c r="A8" s="7">
        <v>0.31458333333333333</v>
      </c>
      <c r="B8" s="6">
        <v>1</v>
      </c>
    </row>
    <row r="9" spans="1:2" x14ac:dyDescent="0.25">
      <c r="A9" s="7">
        <v>0.31527777777777777</v>
      </c>
      <c r="B9" s="6">
        <v>3</v>
      </c>
    </row>
    <row r="10" spans="1:2" x14ac:dyDescent="0.25">
      <c r="A10" s="7">
        <v>0.31597222222222221</v>
      </c>
      <c r="B10" s="6">
        <v>1</v>
      </c>
    </row>
    <row r="11" spans="1:2" x14ac:dyDescent="0.25">
      <c r="A11" s="7">
        <v>0.31666666666666665</v>
      </c>
      <c r="B11" s="6">
        <v>3</v>
      </c>
    </row>
    <row r="12" spans="1:2" x14ac:dyDescent="0.25">
      <c r="A12" s="7">
        <v>0.31805555555555554</v>
      </c>
      <c r="B12" s="6">
        <v>3</v>
      </c>
    </row>
    <row r="13" spans="1:2" x14ac:dyDescent="0.25">
      <c r="A13" s="7">
        <v>0.31875000000000003</v>
      </c>
      <c r="B13" s="6">
        <v>1</v>
      </c>
    </row>
    <row r="14" spans="1:2" x14ac:dyDescent="0.25">
      <c r="A14" s="7">
        <v>0.31944444444444448</v>
      </c>
      <c r="B14" s="6">
        <v>2</v>
      </c>
    </row>
    <row r="15" spans="1:2" x14ac:dyDescent="0.25">
      <c r="A15" s="7">
        <v>0.32013888888888892</v>
      </c>
      <c r="B15" s="6">
        <v>2</v>
      </c>
    </row>
    <row r="16" spans="1:2" x14ac:dyDescent="0.25">
      <c r="A16" s="7">
        <v>0.32083333333333336</v>
      </c>
      <c r="B16" s="6">
        <v>1</v>
      </c>
    </row>
    <row r="17" spans="1:2" x14ac:dyDescent="0.25">
      <c r="A17" s="7">
        <v>0.3215277777777778</v>
      </c>
      <c r="B17" s="6">
        <v>1</v>
      </c>
    </row>
    <row r="18" spans="1:2" x14ac:dyDescent="0.25">
      <c r="A18" s="7">
        <v>0.32222222222222224</v>
      </c>
      <c r="B18" s="6">
        <v>1</v>
      </c>
    </row>
    <row r="19" spans="1:2" x14ac:dyDescent="0.25">
      <c r="A19" s="7">
        <v>0.32361111111111113</v>
      </c>
      <c r="B19" s="6">
        <v>2</v>
      </c>
    </row>
    <row r="20" spans="1:2" x14ac:dyDescent="0.25">
      <c r="A20" s="7">
        <v>0.32430555555555557</v>
      </c>
      <c r="B20" s="6">
        <v>2</v>
      </c>
    </row>
    <row r="21" spans="1:2" x14ac:dyDescent="0.25">
      <c r="A21" s="7">
        <v>0.32500000000000001</v>
      </c>
      <c r="B21" s="6">
        <v>1</v>
      </c>
    </row>
    <row r="22" spans="1:2" x14ac:dyDescent="0.25">
      <c r="A22" s="7">
        <v>0.32569444444444445</v>
      </c>
      <c r="B22" s="6">
        <v>2</v>
      </c>
    </row>
    <row r="23" spans="1:2" x14ac:dyDescent="0.25">
      <c r="A23" s="7">
        <v>0.3263888888888889</v>
      </c>
      <c r="B23" s="6">
        <v>3</v>
      </c>
    </row>
    <row r="24" spans="1:2" x14ac:dyDescent="0.25">
      <c r="A24" s="7">
        <v>0.32847222222222222</v>
      </c>
      <c r="B24" s="6">
        <v>3</v>
      </c>
    </row>
    <row r="25" spans="1:2" x14ac:dyDescent="0.25">
      <c r="A25" s="7">
        <v>0.32916666666666666</v>
      </c>
      <c r="B25" s="6">
        <v>2</v>
      </c>
    </row>
    <row r="26" spans="1:2" x14ac:dyDescent="0.25">
      <c r="A26" s="7">
        <v>0.3298611111111111</v>
      </c>
      <c r="B26" s="6">
        <v>1</v>
      </c>
    </row>
    <row r="27" spans="1:2" x14ac:dyDescent="0.25">
      <c r="A27" s="7">
        <v>0.33055555555555555</v>
      </c>
      <c r="B27" s="6">
        <v>1</v>
      </c>
    </row>
    <row r="28" spans="1:2" x14ac:dyDescent="0.25">
      <c r="A28" s="7">
        <v>0.33124999999999999</v>
      </c>
      <c r="B28" s="6">
        <v>2</v>
      </c>
    </row>
    <row r="29" spans="1:2" x14ac:dyDescent="0.25">
      <c r="A29" s="7">
        <v>0.33194444444444443</v>
      </c>
      <c r="B29" s="6">
        <v>1</v>
      </c>
    </row>
    <row r="30" spans="1:2" x14ac:dyDescent="0.25">
      <c r="A30" s="7">
        <v>0.33263888888888887</v>
      </c>
      <c r="B30" s="6">
        <v>1</v>
      </c>
    </row>
    <row r="31" spans="1:2" x14ac:dyDescent="0.25">
      <c r="A31" s="7">
        <v>0.33333333333333331</v>
      </c>
      <c r="B31" s="6">
        <v>2</v>
      </c>
    </row>
    <row r="32" spans="1:2" x14ac:dyDescent="0.25">
      <c r="A32" s="7">
        <v>0.33402777777777781</v>
      </c>
      <c r="B32" s="6">
        <v>1</v>
      </c>
    </row>
    <row r="33" spans="1:2" x14ac:dyDescent="0.25">
      <c r="A33" s="7">
        <v>0.3347222222222222</v>
      </c>
      <c r="B33" s="6">
        <v>1</v>
      </c>
    </row>
    <row r="34" spans="1:2" x14ac:dyDescent="0.25">
      <c r="A34" s="7">
        <v>0.3354166666666667</v>
      </c>
      <c r="B34" s="6">
        <v>1</v>
      </c>
    </row>
    <row r="35" spans="1:2" x14ac:dyDescent="0.25">
      <c r="A35" s="7">
        <v>0.33611111111111108</v>
      </c>
      <c r="B35" s="6">
        <v>2</v>
      </c>
    </row>
    <row r="36" spans="1:2" x14ac:dyDescent="0.25">
      <c r="A36" s="7">
        <v>0.33680555555555558</v>
      </c>
      <c r="B36" s="6">
        <v>2</v>
      </c>
    </row>
    <row r="37" spans="1:2" x14ac:dyDescent="0.25">
      <c r="A37" s="7">
        <v>0.33749999999999997</v>
      </c>
      <c r="B37" s="6">
        <v>2</v>
      </c>
    </row>
    <row r="38" spans="1:2" x14ac:dyDescent="0.25">
      <c r="A38" s="7">
        <v>0.33819444444444446</v>
      </c>
      <c r="B38" s="6">
        <v>1</v>
      </c>
    </row>
    <row r="39" spans="1:2" x14ac:dyDescent="0.25">
      <c r="A39" s="7">
        <v>0.33888888888888885</v>
      </c>
      <c r="B39" s="6">
        <v>1</v>
      </c>
    </row>
    <row r="40" spans="1:2" x14ac:dyDescent="0.25">
      <c r="A40" s="7">
        <v>0.33958333333333335</v>
      </c>
      <c r="B40" s="6">
        <v>2</v>
      </c>
    </row>
    <row r="41" spans="1:2" x14ac:dyDescent="0.25">
      <c r="A41" s="7">
        <v>0.34027777777777773</v>
      </c>
      <c r="B41" s="6">
        <v>1</v>
      </c>
    </row>
    <row r="42" spans="1:2" x14ac:dyDescent="0.25">
      <c r="A42" s="7">
        <v>0.34166666666666662</v>
      </c>
      <c r="B42" s="6">
        <v>2</v>
      </c>
    </row>
    <row r="43" spans="1:2" x14ac:dyDescent="0.25">
      <c r="A43" s="7">
        <v>0.34236111111111112</v>
      </c>
      <c r="B43" s="6">
        <v>1</v>
      </c>
    </row>
    <row r="44" spans="1:2" x14ac:dyDescent="0.25">
      <c r="A44" s="7">
        <v>0.3430555555555555</v>
      </c>
      <c r="B44" s="6">
        <v>1</v>
      </c>
    </row>
    <row r="45" spans="1:2" x14ac:dyDescent="0.25">
      <c r="A45" s="7">
        <v>0.34375</v>
      </c>
      <c r="B45" s="6">
        <v>2</v>
      </c>
    </row>
    <row r="46" spans="1:2" x14ac:dyDescent="0.25">
      <c r="A46" s="7">
        <v>0.3444444444444445</v>
      </c>
      <c r="B46" s="6">
        <v>3</v>
      </c>
    </row>
    <row r="47" spans="1:2" x14ac:dyDescent="0.25">
      <c r="A47" s="7">
        <v>0.34513888888888888</v>
      </c>
      <c r="B47" s="6">
        <v>1</v>
      </c>
    </row>
    <row r="48" spans="1:2" x14ac:dyDescent="0.25">
      <c r="A48" s="7">
        <v>0.34583333333333338</v>
      </c>
      <c r="B48" s="6">
        <v>3</v>
      </c>
    </row>
    <row r="49" spans="1:2" x14ac:dyDescent="0.25">
      <c r="A49" s="7">
        <v>0.34722222222222227</v>
      </c>
      <c r="B49" s="6">
        <v>1</v>
      </c>
    </row>
    <row r="50" spans="1:2" x14ac:dyDescent="0.25">
      <c r="A50" s="7">
        <v>0.34791666666666665</v>
      </c>
      <c r="B50" s="6">
        <v>3</v>
      </c>
    </row>
    <row r="51" spans="1:2" x14ac:dyDescent="0.25">
      <c r="A51" s="7">
        <v>0.34861111111111115</v>
      </c>
      <c r="B51" s="6">
        <v>1</v>
      </c>
    </row>
    <row r="52" spans="1:2" x14ac:dyDescent="0.25">
      <c r="A52" s="7">
        <v>0.34930555555555554</v>
      </c>
      <c r="B52" s="6">
        <v>1</v>
      </c>
    </row>
    <row r="53" spans="1:2" x14ac:dyDescent="0.25">
      <c r="A53" s="7">
        <v>0.35069444444444442</v>
      </c>
      <c r="B53" s="6">
        <v>1</v>
      </c>
    </row>
    <row r="54" spans="1:2" x14ac:dyDescent="0.25">
      <c r="A54" s="7">
        <v>0.3520833333333333</v>
      </c>
      <c r="B54" s="6">
        <v>1</v>
      </c>
    </row>
    <row r="55" spans="1:2" x14ac:dyDescent="0.25">
      <c r="A55" s="7">
        <v>0.3527777777777778</v>
      </c>
      <c r="B55" s="6">
        <v>2</v>
      </c>
    </row>
    <row r="56" spans="1:2" x14ac:dyDescent="0.25">
      <c r="A56" s="7">
        <v>0.35416666666666669</v>
      </c>
      <c r="B56" s="6">
        <v>1</v>
      </c>
    </row>
    <row r="57" spans="1:2" x14ac:dyDescent="0.25">
      <c r="A57" s="7">
        <v>0.35486111111111113</v>
      </c>
      <c r="B57" s="6">
        <v>2</v>
      </c>
    </row>
    <row r="58" spans="1:2" x14ac:dyDescent="0.25">
      <c r="A58" s="7">
        <v>0.35625000000000001</v>
      </c>
      <c r="B58" s="6">
        <v>1</v>
      </c>
    </row>
    <row r="59" spans="1:2" x14ac:dyDescent="0.25">
      <c r="A59" s="7">
        <v>0.35694444444444445</v>
      </c>
      <c r="B59" s="6">
        <v>3</v>
      </c>
    </row>
    <row r="60" spans="1:2" x14ac:dyDescent="0.25">
      <c r="A60" s="7">
        <v>0.3576388888888889</v>
      </c>
      <c r="B60" s="6">
        <v>2</v>
      </c>
    </row>
    <row r="61" spans="1:2" x14ac:dyDescent="0.25">
      <c r="A61" s="7">
        <v>0.35833333333333334</v>
      </c>
      <c r="B61" s="6">
        <v>1</v>
      </c>
    </row>
    <row r="62" spans="1:2" x14ac:dyDescent="0.25">
      <c r="A62" s="7">
        <v>0.35902777777777778</v>
      </c>
      <c r="B62" s="6">
        <v>2</v>
      </c>
    </row>
    <row r="63" spans="1:2" x14ac:dyDescent="0.25">
      <c r="A63" s="7">
        <v>0.35972222222222222</v>
      </c>
      <c r="B63" s="6">
        <v>3</v>
      </c>
    </row>
    <row r="64" spans="1:2" x14ac:dyDescent="0.25">
      <c r="A64" s="7">
        <v>0.36180555555555555</v>
      </c>
      <c r="B64" s="6">
        <v>3</v>
      </c>
    </row>
    <row r="65" spans="1:2" x14ac:dyDescent="0.25">
      <c r="A65" s="7">
        <v>0.36249999999999999</v>
      </c>
      <c r="B65" s="6">
        <v>2</v>
      </c>
    </row>
    <row r="66" spans="1:2" x14ac:dyDescent="0.25">
      <c r="A66" s="7">
        <v>0.36319444444444443</v>
      </c>
      <c r="B66" s="6">
        <v>2</v>
      </c>
    </row>
    <row r="67" spans="1:2" x14ac:dyDescent="0.25">
      <c r="A67" s="7">
        <v>0.36388888888888887</v>
      </c>
      <c r="B67" s="6">
        <v>1</v>
      </c>
    </row>
    <row r="68" spans="1:2" x14ac:dyDescent="0.25">
      <c r="A68" s="7">
        <v>0.36458333333333331</v>
      </c>
      <c r="B68" s="6">
        <v>1</v>
      </c>
    </row>
    <row r="69" spans="1:2" x14ac:dyDescent="0.25">
      <c r="A69" s="7">
        <v>0.36527777777777781</v>
      </c>
      <c r="B69" s="6">
        <v>2</v>
      </c>
    </row>
    <row r="70" spans="1:2" x14ac:dyDescent="0.25">
      <c r="A70" s="7">
        <v>0.3659722222222222</v>
      </c>
      <c r="B70" s="6">
        <v>1</v>
      </c>
    </row>
    <row r="71" spans="1:2" x14ac:dyDescent="0.25">
      <c r="A71" s="7">
        <v>0.36874999999999997</v>
      </c>
      <c r="B71" s="6">
        <v>3</v>
      </c>
    </row>
    <row r="72" spans="1:2" x14ac:dyDescent="0.25">
      <c r="A72" s="7">
        <v>0.36944444444444446</v>
      </c>
      <c r="B72" s="6">
        <v>2</v>
      </c>
    </row>
    <row r="73" spans="1:2" x14ac:dyDescent="0.25">
      <c r="A73" s="7">
        <v>0.37013888888888885</v>
      </c>
      <c r="B73" s="6">
        <v>1</v>
      </c>
    </row>
    <row r="74" spans="1:2" x14ac:dyDescent="0.25">
      <c r="A74" s="7">
        <v>0.37083333333333335</v>
      </c>
      <c r="B74" s="6">
        <v>2</v>
      </c>
    </row>
    <row r="75" spans="1:2" x14ac:dyDescent="0.25">
      <c r="A75" s="7">
        <v>0.37152777777777773</v>
      </c>
      <c r="B75" s="6">
        <v>2</v>
      </c>
    </row>
    <row r="76" spans="1:2" x14ac:dyDescent="0.25">
      <c r="A76" s="7">
        <v>0.37291666666666662</v>
      </c>
      <c r="B76" s="6">
        <v>1</v>
      </c>
    </row>
    <row r="77" spans="1:2" x14ac:dyDescent="0.25">
      <c r="A77" s="7">
        <v>0.37361111111111112</v>
      </c>
      <c r="B77" s="6">
        <v>1</v>
      </c>
    </row>
    <row r="78" spans="1:2" x14ac:dyDescent="0.25">
      <c r="A78" s="7">
        <v>0.3743055555555555</v>
      </c>
      <c r="B78" s="6">
        <v>2</v>
      </c>
    </row>
    <row r="79" spans="1:2" x14ac:dyDescent="0.25">
      <c r="A79" s="7">
        <v>0.375</v>
      </c>
      <c r="B79" s="6">
        <v>1</v>
      </c>
    </row>
    <row r="80" spans="1:2" x14ac:dyDescent="0.25">
      <c r="A80" s="7">
        <v>0.3756944444444445</v>
      </c>
      <c r="B80" s="6">
        <v>1</v>
      </c>
    </row>
    <row r="81" spans="1:2" x14ac:dyDescent="0.25">
      <c r="A81" s="7">
        <v>0.37638888888888888</v>
      </c>
      <c r="B81" s="6">
        <v>1</v>
      </c>
    </row>
    <row r="82" spans="1:2" x14ac:dyDescent="0.25">
      <c r="A82" s="7">
        <v>0.37847222222222227</v>
      </c>
      <c r="B82" s="6">
        <v>1</v>
      </c>
    </row>
    <row r="83" spans="1:2" x14ac:dyDescent="0.25">
      <c r="A83" s="7">
        <v>0.37916666666666665</v>
      </c>
      <c r="B83" s="6">
        <v>2</v>
      </c>
    </row>
    <row r="84" spans="1:2" x14ac:dyDescent="0.25">
      <c r="A84" s="7">
        <v>0.37986111111111115</v>
      </c>
      <c r="B84" s="6">
        <v>1</v>
      </c>
    </row>
    <row r="85" spans="1:2" x14ac:dyDescent="0.25">
      <c r="A85" s="7">
        <v>0.38055555555555554</v>
      </c>
      <c r="B85" s="6">
        <v>3</v>
      </c>
    </row>
    <row r="86" spans="1:2" x14ac:dyDescent="0.25">
      <c r="A86" s="7">
        <v>0.38125000000000003</v>
      </c>
      <c r="B86" s="6">
        <v>2</v>
      </c>
    </row>
    <row r="87" spans="1:2" x14ac:dyDescent="0.25">
      <c r="A87" s="7">
        <v>0.3833333333333333</v>
      </c>
      <c r="B87" s="6">
        <v>1</v>
      </c>
    </row>
    <row r="88" spans="1:2" x14ac:dyDescent="0.25">
      <c r="A88" s="7">
        <v>0.3840277777777778</v>
      </c>
      <c r="B88" s="6">
        <v>1</v>
      </c>
    </row>
    <row r="89" spans="1:2" x14ac:dyDescent="0.25">
      <c r="A89" s="7">
        <v>0.38472222222222219</v>
      </c>
      <c r="B89" s="6">
        <v>2</v>
      </c>
    </row>
    <row r="90" spans="1:2" x14ac:dyDescent="0.25">
      <c r="A90" s="7">
        <v>0.38541666666666669</v>
      </c>
      <c r="B90" s="6">
        <v>1</v>
      </c>
    </row>
    <row r="91" spans="1:2" x14ac:dyDescent="0.25">
      <c r="A91" s="7">
        <v>0.38611111111111113</v>
      </c>
      <c r="B91" s="6">
        <v>2</v>
      </c>
    </row>
    <row r="92" spans="1:2" x14ac:dyDescent="0.25">
      <c r="A92" s="7">
        <v>0.38680555555555557</v>
      </c>
      <c r="B92" s="6">
        <v>3</v>
      </c>
    </row>
    <row r="93" spans="1:2" x14ac:dyDescent="0.25">
      <c r="A93" s="7">
        <v>0.38750000000000001</v>
      </c>
      <c r="B93" s="6">
        <v>1</v>
      </c>
    </row>
    <row r="94" spans="1:2" x14ac:dyDescent="0.25">
      <c r="A94" s="7">
        <v>0.38819444444444445</v>
      </c>
      <c r="B94" s="6">
        <v>1</v>
      </c>
    </row>
    <row r="95" spans="1:2" x14ac:dyDescent="0.25">
      <c r="A95" s="7">
        <v>0.3888888888888889</v>
      </c>
      <c r="B95" s="6">
        <v>2</v>
      </c>
    </row>
    <row r="96" spans="1:2" x14ac:dyDescent="0.25">
      <c r="A96" s="7">
        <v>0.39027777777777778</v>
      </c>
      <c r="B96" s="6">
        <v>1</v>
      </c>
    </row>
    <row r="97" spans="1:2" x14ac:dyDescent="0.25">
      <c r="A97" s="7">
        <v>0.39166666666666666</v>
      </c>
      <c r="B97" s="6">
        <v>4</v>
      </c>
    </row>
    <row r="98" spans="1:2" x14ac:dyDescent="0.25">
      <c r="A98" s="7">
        <v>0.3923611111111111</v>
      </c>
      <c r="B98" s="6">
        <v>2</v>
      </c>
    </row>
    <row r="99" spans="1:2" x14ac:dyDescent="0.25">
      <c r="A99" s="7">
        <v>0.39305555555555555</v>
      </c>
      <c r="B99" s="6">
        <v>4</v>
      </c>
    </row>
    <row r="100" spans="1:2" x14ac:dyDescent="0.25">
      <c r="A100" s="7">
        <v>0.39374999999999999</v>
      </c>
      <c r="B100" s="6">
        <v>1</v>
      </c>
    </row>
    <row r="101" spans="1:2" x14ac:dyDescent="0.25">
      <c r="A101" s="7">
        <v>0.39513888888888887</v>
      </c>
      <c r="B101" s="6">
        <v>2</v>
      </c>
    </row>
    <row r="102" spans="1:2" x14ac:dyDescent="0.25">
      <c r="A102" s="7">
        <v>0.39583333333333331</v>
      </c>
      <c r="B102" s="6">
        <v>1</v>
      </c>
    </row>
    <row r="103" spans="1:2" x14ac:dyDescent="0.25">
      <c r="A103" s="7">
        <v>0.3972222222222222</v>
      </c>
      <c r="B103" s="6">
        <v>2</v>
      </c>
    </row>
    <row r="104" spans="1:2" x14ac:dyDescent="0.25">
      <c r="A104" s="7">
        <v>0.3979166666666667</v>
      </c>
      <c r="B104" s="6">
        <v>2</v>
      </c>
    </row>
    <row r="105" spans="1:2" x14ac:dyDescent="0.25">
      <c r="A105" s="7">
        <v>0.39930555555555558</v>
      </c>
      <c r="B105" s="6">
        <v>1</v>
      </c>
    </row>
    <row r="106" spans="1:2" x14ac:dyDescent="0.25">
      <c r="A106" s="7">
        <v>0.39999999999999997</v>
      </c>
      <c r="B106" s="6">
        <v>1</v>
      </c>
    </row>
    <row r="107" spans="1:2" x14ac:dyDescent="0.25">
      <c r="A107" s="7">
        <v>0.40069444444444446</v>
      </c>
      <c r="B107" s="6">
        <v>1</v>
      </c>
    </row>
    <row r="108" spans="1:2" x14ac:dyDescent="0.25">
      <c r="A108" s="7">
        <v>0.40138888888888885</v>
      </c>
      <c r="B108" s="6">
        <v>1</v>
      </c>
    </row>
    <row r="109" spans="1:2" x14ac:dyDescent="0.25">
      <c r="A109" s="7">
        <v>0.40208333333333335</v>
      </c>
      <c r="B109" s="6">
        <v>2</v>
      </c>
    </row>
    <row r="110" spans="1:2" x14ac:dyDescent="0.25">
      <c r="A110" s="7">
        <v>0.40277777777777773</v>
      </c>
      <c r="B110" s="6">
        <v>1</v>
      </c>
    </row>
    <row r="111" spans="1:2" x14ac:dyDescent="0.25">
      <c r="A111" s="7">
        <v>0.40347222222222223</v>
      </c>
      <c r="B111" s="6">
        <v>3</v>
      </c>
    </row>
    <row r="112" spans="1:2" x14ac:dyDescent="0.25">
      <c r="A112" s="7">
        <v>0.40416666666666662</v>
      </c>
      <c r="B112" s="6">
        <v>1</v>
      </c>
    </row>
    <row r="113" spans="1:2" x14ac:dyDescent="0.25">
      <c r="A113" s="7">
        <v>0.4055555555555555</v>
      </c>
      <c r="B113" s="6">
        <v>2</v>
      </c>
    </row>
    <row r="114" spans="1:2" x14ac:dyDescent="0.25">
      <c r="A114" s="7">
        <v>0.40625</v>
      </c>
      <c r="B114" s="6">
        <v>1</v>
      </c>
    </row>
    <row r="115" spans="1:2" x14ac:dyDescent="0.25">
      <c r="A115" s="7">
        <v>0.4069444444444445</v>
      </c>
      <c r="B115" s="6">
        <v>2</v>
      </c>
    </row>
    <row r="116" spans="1:2" x14ac:dyDescent="0.25">
      <c r="A116" s="7">
        <v>0.40902777777777777</v>
      </c>
      <c r="B116" s="6">
        <v>1</v>
      </c>
    </row>
    <row r="117" spans="1:2" x14ac:dyDescent="0.25">
      <c r="A117" s="7">
        <v>0.40972222222222227</v>
      </c>
      <c r="B117" s="6">
        <v>1</v>
      </c>
    </row>
    <row r="118" spans="1:2" x14ac:dyDescent="0.25">
      <c r="A118" s="7">
        <v>0.41041666666666665</v>
      </c>
      <c r="B118" s="6">
        <v>3</v>
      </c>
    </row>
    <row r="119" spans="1:2" x14ac:dyDescent="0.25">
      <c r="A119" s="7">
        <v>0.41250000000000003</v>
      </c>
      <c r="B119" s="6">
        <v>1</v>
      </c>
    </row>
    <row r="120" spans="1:2" x14ac:dyDescent="0.25">
      <c r="A120" s="7">
        <v>0.41319444444444442</v>
      </c>
      <c r="B120" s="6">
        <v>2</v>
      </c>
    </row>
    <row r="121" spans="1:2" x14ac:dyDescent="0.25">
      <c r="A121" s="7">
        <v>0.41388888888888892</v>
      </c>
      <c r="B121" s="6">
        <v>1</v>
      </c>
    </row>
    <row r="122" spans="1:2" x14ac:dyDescent="0.25">
      <c r="A122" s="7">
        <v>0.4145833333333333</v>
      </c>
      <c r="B122" s="6">
        <v>2</v>
      </c>
    </row>
    <row r="123" spans="1:2" x14ac:dyDescent="0.25">
      <c r="A123" s="7">
        <v>0.41666666666666669</v>
      </c>
      <c r="B123" s="6">
        <v>5</v>
      </c>
    </row>
    <row r="124" spans="1:2" x14ac:dyDescent="0.25">
      <c r="A124" s="7">
        <v>0.62638888888888888</v>
      </c>
      <c r="B124" s="6">
        <v>1</v>
      </c>
    </row>
    <row r="125" spans="1:2" x14ac:dyDescent="0.25">
      <c r="A125" s="7">
        <v>0.62777777777777777</v>
      </c>
      <c r="B125" s="6">
        <v>1</v>
      </c>
    </row>
    <row r="126" spans="1:2" x14ac:dyDescent="0.25">
      <c r="A126" s="7">
        <v>0.62847222222222221</v>
      </c>
      <c r="B126" s="6">
        <v>3</v>
      </c>
    </row>
    <row r="127" spans="1:2" x14ac:dyDescent="0.25">
      <c r="A127" s="7">
        <v>0.62916666666666665</v>
      </c>
      <c r="B127" s="6">
        <v>3</v>
      </c>
    </row>
    <row r="128" spans="1:2" x14ac:dyDescent="0.25">
      <c r="A128" s="7">
        <v>0.63055555555555554</v>
      </c>
      <c r="B128" s="6">
        <v>1</v>
      </c>
    </row>
    <row r="129" spans="1:2" x14ac:dyDescent="0.25">
      <c r="A129" s="7">
        <v>0.63124999999999998</v>
      </c>
      <c r="B129" s="6">
        <v>1</v>
      </c>
    </row>
    <row r="130" spans="1:2" x14ac:dyDescent="0.25">
      <c r="A130" s="7">
        <v>0.63194444444444442</v>
      </c>
      <c r="B130" s="6">
        <v>1</v>
      </c>
    </row>
    <row r="131" spans="1:2" x14ac:dyDescent="0.25">
      <c r="A131" s="7">
        <v>0.63263888888888886</v>
      </c>
      <c r="B131" s="6">
        <v>2</v>
      </c>
    </row>
    <row r="132" spans="1:2" x14ac:dyDescent="0.25">
      <c r="A132" s="7">
        <v>0.63402777777777775</v>
      </c>
      <c r="B132" s="6">
        <v>2</v>
      </c>
    </row>
    <row r="133" spans="1:2" x14ac:dyDescent="0.25">
      <c r="A133" s="7">
        <v>0.63472222222222219</v>
      </c>
      <c r="B133" s="6">
        <v>1</v>
      </c>
    </row>
    <row r="134" spans="1:2" x14ac:dyDescent="0.25">
      <c r="A134" s="7">
        <v>0.63541666666666663</v>
      </c>
      <c r="B134" s="6">
        <v>4</v>
      </c>
    </row>
    <row r="135" spans="1:2" x14ac:dyDescent="0.25">
      <c r="A135" s="7">
        <v>0.63680555555555551</v>
      </c>
      <c r="B135" s="6">
        <v>1</v>
      </c>
    </row>
    <row r="136" spans="1:2" x14ac:dyDescent="0.25">
      <c r="A136" s="7">
        <v>0.63750000000000007</v>
      </c>
      <c r="B136" s="6">
        <v>2</v>
      </c>
    </row>
    <row r="137" spans="1:2" x14ac:dyDescent="0.25">
      <c r="A137" s="7">
        <v>0.6381944444444444</v>
      </c>
      <c r="B137" s="6">
        <v>1</v>
      </c>
    </row>
    <row r="138" spans="1:2" x14ac:dyDescent="0.25">
      <c r="A138" s="7">
        <v>0.63888888888888895</v>
      </c>
      <c r="B138" s="6">
        <v>1</v>
      </c>
    </row>
    <row r="139" spans="1:2" x14ac:dyDescent="0.25">
      <c r="A139" s="7">
        <v>0.63958333333333328</v>
      </c>
      <c r="B139" s="6">
        <v>1</v>
      </c>
    </row>
    <row r="140" spans="1:2" x14ac:dyDescent="0.25">
      <c r="A140" s="7">
        <v>0.64027777777777783</v>
      </c>
      <c r="B140" s="6">
        <v>2</v>
      </c>
    </row>
    <row r="141" spans="1:2" x14ac:dyDescent="0.25">
      <c r="A141" s="7">
        <v>0.64166666666666672</v>
      </c>
      <c r="B141" s="6">
        <v>1</v>
      </c>
    </row>
    <row r="142" spans="1:2" x14ac:dyDescent="0.25">
      <c r="A142" s="7">
        <v>0.64236111111111105</v>
      </c>
      <c r="B142" s="6">
        <v>1</v>
      </c>
    </row>
    <row r="143" spans="1:2" x14ac:dyDescent="0.25">
      <c r="A143" s="7">
        <v>0.6430555555555556</v>
      </c>
      <c r="B143" s="6">
        <v>1</v>
      </c>
    </row>
    <row r="144" spans="1:2" x14ac:dyDescent="0.25">
      <c r="A144" s="7">
        <v>0.64444444444444449</v>
      </c>
      <c r="B144" s="6">
        <v>1</v>
      </c>
    </row>
    <row r="145" spans="1:2" x14ac:dyDescent="0.25">
      <c r="A145" s="7">
        <v>0.64583333333333337</v>
      </c>
      <c r="B145" s="6">
        <v>1</v>
      </c>
    </row>
    <row r="146" spans="1:2" x14ac:dyDescent="0.25">
      <c r="A146" s="7">
        <v>0.6479166666666667</v>
      </c>
      <c r="B146" s="6">
        <v>2</v>
      </c>
    </row>
    <row r="147" spans="1:2" x14ac:dyDescent="0.25">
      <c r="A147" s="7">
        <v>0.65069444444444446</v>
      </c>
      <c r="B147" s="6">
        <v>5</v>
      </c>
    </row>
    <row r="148" spans="1:2" x14ac:dyDescent="0.25">
      <c r="A148" s="7">
        <v>0.65138888888888891</v>
      </c>
      <c r="B148" s="6">
        <v>2</v>
      </c>
    </row>
    <row r="149" spans="1:2" x14ac:dyDescent="0.25">
      <c r="A149" s="7">
        <v>0.65208333333333335</v>
      </c>
      <c r="B149" s="6">
        <v>1</v>
      </c>
    </row>
    <row r="150" spans="1:2" x14ac:dyDescent="0.25">
      <c r="A150" s="7">
        <v>0.65277777777777779</v>
      </c>
      <c r="B150" s="6">
        <v>1</v>
      </c>
    </row>
    <row r="151" spans="1:2" x14ac:dyDescent="0.25">
      <c r="A151" s="7">
        <v>0.65416666666666667</v>
      </c>
      <c r="B151" s="6">
        <v>4</v>
      </c>
    </row>
    <row r="152" spans="1:2" x14ac:dyDescent="0.25">
      <c r="A152" s="7">
        <v>0.65486111111111112</v>
      </c>
      <c r="B152" s="6">
        <v>1</v>
      </c>
    </row>
    <row r="153" spans="1:2" x14ac:dyDescent="0.25">
      <c r="A153" s="7">
        <v>0.65555555555555556</v>
      </c>
      <c r="B153" s="6">
        <v>1</v>
      </c>
    </row>
    <row r="154" spans="1:2" x14ac:dyDescent="0.25">
      <c r="A154" s="7">
        <v>0.65694444444444444</v>
      </c>
      <c r="B154" s="6">
        <v>1</v>
      </c>
    </row>
    <row r="155" spans="1:2" x14ac:dyDescent="0.25">
      <c r="A155" s="7">
        <v>0.65763888888888888</v>
      </c>
      <c r="B155" s="6">
        <v>1</v>
      </c>
    </row>
    <row r="156" spans="1:2" x14ac:dyDescent="0.25">
      <c r="A156" s="7">
        <v>0.65833333333333333</v>
      </c>
      <c r="B156" s="6">
        <v>1</v>
      </c>
    </row>
    <row r="157" spans="1:2" x14ac:dyDescent="0.25">
      <c r="A157" s="7">
        <v>0.65902777777777777</v>
      </c>
      <c r="B157" s="6">
        <v>2</v>
      </c>
    </row>
    <row r="158" spans="1:2" x14ac:dyDescent="0.25">
      <c r="A158" s="7">
        <v>0.66180555555555554</v>
      </c>
      <c r="B158" s="6">
        <v>1</v>
      </c>
    </row>
    <row r="159" spans="1:2" x14ac:dyDescent="0.25">
      <c r="A159" s="7">
        <v>0.66249999999999998</v>
      </c>
      <c r="B159" s="6">
        <v>1</v>
      </c>
    </row>
    <row r="160" spans="1:2" x14ac:dyDescent="0.25">
      <c r="A160" s="7">
        <v>0.66319444444444442</v>
      </c>
      <c r="B160" s="6">
        <v>1</v>
      </c>
    </row>
    <row r="161" spans="1:2" x14ac:dyDescent="0.25">
      <c r="A161" s="7">
        <v>0.66388888888888886</v>
      </c>
      <c r="B161" s="6">
        <v>1</v>
      </c>
    </row>
    <row r="162" spans="1:2" x14ac:dyDescent="0.25">
      <c r="A162" s="7">
        <v>0.6645833333333333</v>
      </c>
      <c r="B162" s="6">
        <v>2</v>
      </c>
    </row>
    <row r="163" spans="1:2" x14ac:dyDescent="0.25">
      <c r="A163" s="7">
        <v>0.66527777777777775</v>
      </c>
      <c r="B163" s="6">
        <v>1</v>
      </c>
    </row>
    <row r="164" spans="1:2" x14ac:dyDescent="0.25">
      <c r="A164" s="7">
        <v>0.66597222222222219</v>
      </c>
      <c r="B164" s="6">
        <v>1</v>
      </c>
    </row>
    <row r="165" spans="1:2" x14ac:dyDescent="0.25">
      <c r="A165" s="7">
        <v>0.66666666666666663</v>
      </c>
      <c r="B165" s="6">
        <v>3</v>
      </c>
    </row>
    <row r="166" spans="1:2" x14ac:dyDescent="0.25">
      <c r="A166" s="7">
        <v>0.66805555555555562</v>
      </c>
      <c r="B166" s="6">
        <v>2</v>
      </c>
    </row>
    <row r="167" spans="1:2" x14ac:dyDescent="0.25">
      <c r="A167" s="7">
        <v>0.6694444444444444</v>
      </c>
      <c r="B167" s="6">
        <v>2</v>
      </c>
    </row>
    <row r="168" spans="1:2" x14ac:dyDescent="0.25">
      <c r="A168" s="7">
        <v>0.67013888888888884</v>
      </c>
      <c r="B168" s="6">
        <v>3</v>
      </c>
    </row>
    <row r="169" spans="1:2" x14ac:dyDescent="0.25">
      <c r="A169" s="7">
        <v>0.67083333333333339</v>
      </c>
      <c r="B169" s="6">
        <v>1</v>
      </c>
    </row>
    <row r="170" spans="1:2" x14ac:dyDescent="0.25">
      <c r="A170" s="7">
        <v>0.67152777777777783</v>
      </c>
      <c r="B170" s="6">
        <v>3</v>
      </c>
    </row>
    <row r="171" spans="1:2" x14ac:dyDescent="0.25">
      <c r="A171" s="7">
        <v>0.67222222222222217</v>
      </c>
      <c r="B171" s="6">
        <v>1</v>
      </c>
    </row>
    <row r="172" spans="1:2" x14ac:dyDescent="0.25">
      <c r="A172" s="7">
        <v>0.67291666666666661</v>
      </c>
      <c r="B172" s="6">
        <v>2</v>
      </c>
    </row>
    <row r="173" spans="1:2" x14ac:dyDescent="0.25">
      <c r="A173" s="7">
        <v>0.67361111111111116</v>
      </c>
      <c r="B173" s="6">
        <v>1</v>
      </c>
    </row>
    <row r="174" spans="1:2" x14ac:dyDescent="0.25">
      <c r="A174" s="7">
        <v>0.6743055555555556</v>
      </c>
      <c r="B174" s="6">
        <v>1</v>
      </c>
    </row>
    <row r="175" spans="1:2" x14ac:dyDescent="0.25">
      <c r="A175" s="7">
        <v>0.67499999999999993</v>
      </c>
      <c r="B175" s="6">
        <v>1</v>
      </c>
    </row>
    <row r="176" spans="1:2" x14ac:dyDescent="0.25">
      <c r="A176" s="7">
        <v>0.67569444444444438</v>
      </c>
      <c r="B176" s="6">
        <v>1</v>
      </c>
    </row>
    <row r="177" spans="1:2" x14ac:dyDescent="0.25">
      <c r="A177" s="7">
        <v>0.67638888888888893</v>
      </c>
      <c r="B177" s="6">
        <v>1</v>
      </c>
    </row>
    <row r="178" spans="1:2" x14ac:dyDescent="0.25">
      <c r="A178" s="7">
        <v>0.67708333333333337</v>
      </c>
      <c r="B178" s="6">
        <v>1</v>
      </c>
    </row>
    <row r="179" spans="1:2" x14ac:dyDescent="0.25">
      <c r="A179" s="7">
        <v>0.67847222222222225</v>
      </c>
      <c r="B179" s="6">
        <v>2</v>
      </c>
    </row>
    <row r="180" spans="1:2" x14ac:dyDescent="0.25">
      <c r="A180" s="7">
        <v>0.6791666666666667</v>
      </c>
      <c r="B180" s="6">
        <v>2</v>
      </c>
    </row>
    <row r="181" spans="1:2" x14ac:dyDescent="0.25">
      <c r="A181" s="7">
        <v>0.68125000000000002</v>
      </c>
      <c r="B181" s="6">
        <v>4</v>
      </c>
    </row>
    <row r="182" spans="1:2" x14ac:dyDescent="0.25">
      <c r="A182" s="7">
        <v>0.68194444444444446</v>
      </c>
      <c r="B182" s="6">
        <v>2</v>
      </c>
    </row>
    <row r="183" spans="1:2" x14ac:dyDescent="0.25">
      <c r="A183" s="7">
        <v>0.68263888888888891</v>
      </c>
      <c r="B183" s="6">
        <v>1</v>
      </c>
    </row>
    <row r="184" spans="1:2" x14ac:dyDescent="0.25">
      <c r="A184" s="7">
        <v>0.68402777777777779</v>
      </c>
      <c r="B184" s="6">
        <v>1</v>
      </c>
    </row>
    <row r="185" spans="1:2" x14ac:dyDescent="0.25">
      <c r="A185" s="7">
        <v>0.68541666666666667</v>
      </c>
      <c r="B185" s="6">
        <v>1</v>
      </c>
    </row>
    <row r="186" spans="1:2" x14ac:dyDescent="0.25">
      <c r="A186" s="7">
        <v>0.68611111111111101</v>
      </c>
      <c r="B186" s="6">
        <v>1</v>
      </c>
    </row>
    <row r="187" spans="1:2" x14ac:dyDescent="0.25">
      <c r="A187" s="7">
        <v>0.68680555555555556</v>
      </c>
      <c r="B187" s="6">
        <v>1</v>
      </c>
    </row>
    <row r="188" spans="1:2" x14ac:dyDescent="0.25">
      <c r="A188" s="7">
        <v>0.6875</v>
      </c>
      <c r="B188" s="6">
        <v>3</v>
      </c>
    </row>
    <row r="189" spans="1:2" x14ac:dyDescent="0.25">
      <c r="A189" s="7">
        <v>0.68819444444444444</v>
      </c>
      <c r="B189" s="6">
        <v>1</v>
      </c>
    </row>
    <row r="190" spans="1:2" x14ac:dyDescent="0.25">
      <c r="A190" s="7">
        <v>0.68888888888888899</v>
      </c>
      <c r="B190" s="6">
        <v>1</v>
      </c>
    </row>
    <row r="191" spans="1:2" x14ac:dyDescent="0.25">
      <c r="A191" s="7">
        <v>0.68958333333333333</v>
      </c>
      <c r="B191" s="6">
        <v>2</v>
      </c>
    </row>
    <row r="192" spans="1:2" x14ac:dyDescent="0.25">
      <c r="A192" s="7">
        <v>0.69027777777777777</v>
      </c>
      <c r="B192" s="6">
        <v>2</v>
      </c>
    </row>
    <row r="193" spans="1:2" x14ac:dyDescent="0.25">
      <c r="A193" s="7">
        <v>0.69097222222222221</v>
      </c>
      <c r="B193" s="6">
        <v>2</v>
      </c>
    </row>
    <row r="194" spans="1:2" x14ac:dyDescent="0.25">
      <c r="A194" s="7">
        <v>0.69166666666666676</v>
      </c>
      <c r="B194" s="6">
        <v>1</v>
      </c>
    </row>
    <row r="195" spans="1:2" x14ac:dyDescent="0.25">
      <c r="A195" s="7">
        <v>0.69236111111111109</v>
      </c>
      <c r="B195" s="6">
        <v>2</v>
      </c>
    </row>
    <row r="196" spans="1:2" x14ac:dyDescent="0.25">
      <c r="A196" s="7">
        <v>0.69305555555555554</v>
      </c>
      <c r="B196" s="6">
        <v>2</v>
      </c>
    </row>
    <row r="197" spans="1:2" x14ac:dyDescent="0.25">
      <c r="A197" s="7">
        <v>0.69374999999999998</v>
      </c>
      <c r="B197" s="6">
        <v>1</v>
      </c>
    </row>
    <row r="198" spans="1:2" x14ac:dyDescent="0.25">
      <c r="A198" s="7">
        <v>0.69444444444444453</v>
      </c>
      <c r="B198" s="6">
        <v>2</v>
      </c>
    </row>
    <row r="199" spans="1:2" x14ac:dyDescent="0.25">
      <c r="A199" s="7">
        <v>0.69513888888888886</v>
      </c>
      <c r="B199" s="6">
        <v>1</v>
      </c>
    </row>
    <row r="200" spans="1:2" x14ac:dyDescent="0.25">
      <c r="A200" s="7">
        <v>0.6958333333333333</v>
      </c>
      <c r="B200" s="6">
        <v>3</v>
      </c>
    </row>
    <row r="201" spans="1:2" x14ac:dyDescent="0.25">
      <c r="A201" s="7">
        <v>0.69652777777777775</v>
      </c>
      <c r="B201" s="6">
        <v>2</v>
      </c>
    </row>
    <row r="202" spans="1:2" x14ac:dyDescent="0.25">
      <c r="A202" s="7">
        <v>0.6972222222222223</v>
      </c>
      <c r="B202" s="6">
        <v>1</v>
      </c>
    </row>
    <row r="203" spans="1:2" x14ac:dyDescent="0.25">
      <c r="A203" s="7">
        <v>0.69861111111111107</v>
      </c>
      <c r="B203" s="6">
        <v>2</v>
      </c>
    </row>
    <row r="204" spans="1:2" x14ac:dyDescent="0.25">
      <c r="A204" s="7">
        <v>0.69930555555555562</v>
      </c>
      <c r="B204" s="6">
        <v>1</v>
      </c>
    </row>
    <row r="205" spans="1:2" x14ac:dyDescent="0.25">
      <c r="A205" s="7">
        <v>0.70000000000000007</v>
      </c>
      <c r="B205" s="6">
        <v>6</v>
      </c>
    </row>
    <row r="206" spans="1:2" x14ac:dyDescent="0.25">
      <c r="A206" s="7">
        <v>0.7006944444444444</v>
      </c>
      <c r="B206" s="6">
        <v>1</v>
      </c>
    </row>
    <row r="207" spans="1:2" x14ac:dyDescent="0.25">
      <c r="A207" s="7">
        <v>0.70138888888888884</v>
      </c>
      <c r="B207" s="6">
        <v>4</v>
      </c>
    </row>
    <row r="208" spans="1:2" x14ac:dyDescent="0.25">
      <c r="A208" s="7">
        <v>0.70208333333333339</v>
      </c>
      <c r="B208" s="6">
        <v>1</v>
      </c>
    </row>
    <row r="209" spans="1:2" x14ac:dyDescent="0.25">
      <c r="A209" s="7">
        <v>0.70277777777777783</v>
      </c>
      <c r="B209" s="6">
        <v>3</v>
      </c>
    </row>
    <row r="210" spans="1:2" x14ac:dyDescent="0.25">
      <c r="A210" s="7">
        <v>0.70347222222222217</v>
      </c>
      <c r="B210" s="6">
        <v>1</v>
      </c>
    </row>
    <row r="211" spans="1:2" x14ac:dyDescent="0.25">
      <c r="A211" s="7">
        <v>0.70416666666666661</v>
      </c>
      <c r="B211" s="6">
        <v>1</v>
      </c>
    </row>
    <row r="212" spans="1:2" x14ac:dyDescent="0.25">
      <c r="A212" s="7">
        <v>0.70486111111111116</v>
      </c>
      <c r="B212" s="6">
        <v>2</v>
      </c>
    </row>
    <row r="213" spans="1:2" x14ac:dyDescent="0.25">
      <c r="A213" s="7">
        <v>0.7055555555555556</v>
      </c>
      <c r="B213" s="6">
        <v>1</v>
      </c>
    </row>
    <row r="214" spans="1:2" x14ac:dyDescent="0.25">
      <c r="A214" s="7">
        <v>0.70763888888888893</v>
      </c>
      <c r="B214" s="6">
        <v>1</v>
      </c>
    </row>
    <row r="215" spans="1:2" x14ac:dyDescent="0.25">
      <c r="A215" s="7">
        <v>0.70833333333333337</v>
      </c>
      <c r="B215" s="6">
        <v>2</v>
      </c>
    </row>
    <row r="216" spans="1:2" x14ac:dyDescent="0.25">
      <c r="A216" s="7">
        <v>0.7104166666666667</v>
      </c>
      <c r="B216" s="6">
        <v>2</v>
      </c>
    </row>
    <row r="217" spans="1:2" x14ac:dyDescent="0.25">
      <c r="A217" s="7">
        <v>0.71111111111111114</v>
      </c>
      <c r="B217" s="6">
        <v>2</v>
      </c>
    </row>
    <row r="218" spans="1:2" x14ac:dyDescent="0.25">
      <c r="A218" s="7">
        <v>0.71180555555555547</v>
      </c>
      <c r="B218" s="6">
        <v>2</v>
      </c>
    </row>
    <row r="219" spans="1:2" x14ac:dyDescent="0.25">
      <c r="A219" s="7">
        <v>0.71250000000000002</v>
      </c>
      <c r="B219" s="6">
        <v>1</v>
      </c>
    </row>
    <row r="220" spans="1:2" x14ac:dyDescent="0.25">
      <c r="A220" s="7">
        <v>0.71319444444444446</v>
      </c>
      <c r="B220" s="6">
        <v>3</v>
      </c>
    </row>
    <row r="221" spans="1:2" x14ac:dyDescent="0.25">
      <c r="A221" s="7">
        <v>0.71388888888888891</v>
      </c>
      <c r="B221" s="6">
        <v>1</v>
      </c>
    </row>
    <row r="222" spans="1:2" x14ac:dyDescent="0.25">
      <c r="A222" s="7">
        <v>0.71458333333333324</v>
      </c>
      <c r="B222" s="6">
        <v>2</v>
      </c>
    </row>
    <row r="223" spans="1:2" x14ac:dyDescent="0.25">
      <c r="A223" s="7">
        <v>0.71597222222222223</v>
      </c>
      <c r="B223" s="6">
        <v>1</v>
      </c>
    </row>
    <row r="224" spans="1:2" x14ac:dyDescent="0.25">
      <c r="A224" s="7">
        <v>0.71666666666666667</v>
      </c>
      <c r="B224" s="6">
        <v>2</v>
      </c>
    </row>
    <row r="225" spans="1:2" x14ac:dyDescent="0.25">
      <c r="A225" s="7">
        <v>0.71736111111111101</v>
      </c>
      <c r="B225" s="6">
        <v>1</v>
      </c>
    </row>
    <row r="226" spans="1:2" x14ac:dyDescent="0.25">
      <c r="A226" s="7">
        <v>0.71805555555555556</v>
      </c>
      <c r="B226" s="6">
        <v>2</v>
      </c>
    </row>
    <row r="227" spans="1:2" x14ac:dyDescent="0.25">
      <c r="A227" s="7">
        <v>0.71875</v>
      </c>
      <c r="B227" s="6">
        <v>1</v>
      </c>
    </row>
    <row r="228" spans="1:2" x14ac:dyDescent="0.25">
      <c r="A228" s="7">
        <v>0.71944444444444444</v>
      </c>
      <c r="B228" s="6">
        <v>2</v>
      </c>
    </row>
    <row r="229" spans="1:2" x14ac:dyDescent="0.25">
      <c r="A229" s="7">
        <v>0.72222222222222221</v>
      </c>
      <c r="B229" s="6">
        <v>3</v>
      </c>
    </row>
    <row r="230" spans="1:2" x14ac:dyDescent="0.25">
      <c r="A230" s="7">
        <v>0.72291666666666676</v>
      </c>
      <c r="B230" s="6">
        <v>2</v>
      </c>
    </row>
    <row r="231" spans="1:2" x14ac:dyDescent="0.25">
      <c r="A231" s="7">
        <v>0.72361111111111109</v>
      </c>
      <c r="B231" s="6">
        <v>2</v>
      </c>
    </row>
    <row r="232" spans="1:2" x14ac:dyDescent="0.25">
      <c r="A232" s="7">
        <v>0.72430555555555554</v>
      </c>
      <c r="B232" s="6">
        <v>4</v>
      </c>
    </row>
    <row r="233" spans="1:2" x14ac:dyDescent="0.25">
      <c r="A233" s="7">
        <v>0.72499999999999998</v>
      </c>
      <c r="B233" s="6">
        <v>1</v>
      </c>
    </row>
    <row r="234" spans="1:2" x14ac:dyDescent="0.25">
      <c r="A234" s="7">
        <v>0.72569444444444453</v>
      </c>
      <c r="B234" s="6">
        <v>2</v>
      </c>
    </row>
    <row r="235" spans="1:2" x14ac:dyDescent="0.25">
      <c r="A235" s="7">
        <v>0.72777777777777775</v>
      </c>
      <c r="B235" s="6">
        <v>1</v>
      </c>
    </row>
    <row r="236" spans="1:2" x14ac:dyDescent="0.25">
      <c r="A236" s="7">
        <v>0.7284722222222223</v>
      </c>
      <c r="B236" s="6">
        <v>1</v>
      </c>
    </row>
    <row r="237" spans="1:2" x14ac:dyDescent="0.25">
      <c r="A237" s="7">
        <v>0.72916666666666663</v>
      </c>
      <c r="B237" s="6">
        <v>1</v>
      </c>
    </row>
    <row r="238" spans="1:2" x14ac:dyDescent="0.25">
      <c r="A238" s="7">
        <v>0.73125000000000007</v>
      </c>
      <c r="B238" s="6">
        <v>5</v>
      </c>
    </row>
    <row r="239" spans="1:2" x14ac:dyDescent="0.25">
      <c r="A239" s="7">
        <v>0.73263888888888884</v>
      </c>
      <c r="B239" s="6">
        <v>1</v>
      </c>
    </row>
    <row r="240" spans="1:2" x14ac:dyDescent="0.25">
      <c r="A240" s="7">
        <v>0.73402777777777783</v>
      </c>
      <c r="B240" s="6">
        <v>1</v>
      </c>
    </row>
    <row r="241" spans="1:2" x14ac:dyDescent="0.25">
      <c r="A241" s="7">
        <v>0.73472222222222217</v>
      </c>
      <c r="B241" s="6">
        <v>1</v>
      </c>
    </row>
    <row r="242" spans="1:2" x14ac:dyDescent="0.25">
      <c r="A242" s="7">
        <v>0.73541666666666661</v>
      </c>
      <c r="B242" s="6">
        <v>4</v>
      </c>
    </row>
    <row r="243" spans="1:2" x14ac:dyDescent="0.25">
      <c r="A243" s="7">
        <v>0.73611111111111116</v>
      </c>
      <c r="B243" s="6">
        <v>1</v>
      </c>
    </row>
    <row r="244" spans="1:2" x14ac:dyDescent="0.25">
      <c r="A244" s="7">
        <v>0.7368055555555556</v>
      </c>
      <c r="B244" s="6">
        <v>1</v>
      </c>
    </row>
    <row r="245" spans="1:2" x14ac:dyDescent="0.25">
      <c r="A245" s="7">
        <v>0.73749999999999993</v>
      </c>
      <c r="B245" s="6">
        <v>2</v>
      </c>
    </row>
    <row r="246" spans="1:2" x14ac:dyDescent="0.25">
      <c r="A246" s="7">
        <v>0.73819444444444438</v>
      </c>
      <c r="B246" s="6">
        <v>3</v>
      </c>
    </row>
    <row r="247" spans="1:2" x14ac:dyDescent="0.25">
      <c r="A247" s="7">
        <v>0.73888888888888893</v>
      </c>
      <c r="B247" s="6">
        <v>4</v>
      </c>
    </row>
    <row r="248" spans="1:2" x14ac:dyDescent="0.25">
      <c r="A248" s="7">
        <v>0.73958333333333337</v>
      </c>
      <c r="B248" s="6">
        <v>1</v>
      </c>
    </row>
    <row r="249" spans="1:2" x14ac:dyDescent="0.25">
      <c r="A249" s="7">
        <v>0.7416666666666667</v>
      </c>
      <c r="B249" s="6">
        <v>1</v>
      </c>
    </row>
    <row r="250" spans="1:2" x14ac:dyDescent="0.25">
      <c r="A250" s="7">
        <v>0.74236111111111114</v>
      </c>
      <c r="B250" s="6">
        <v>1</v>
      </c>
    </row>
    <row r="251" spans="1:2" x14ac:dyDescent="0.25">
      <c r="A251" s="7">
        <v>0.74305555555555547</v>
      </c>
      <c r="B251" s="6">
        <v>1</v>
      </c>
    </row>
    <row r="252" spans="1:2" x14ac:dyDescent="0.25">
      <c r="A252" s="7">
        <v>0.74375000000000002</v>
      </c>
      <c r="B252" s="6">
        <v>2</v>
      </c>
    </row>
    <row r="253" spans="1:2" x14ac:dyDescent="0.25">
      <c r="A253" s="7">
        <v>0.74444444444444446</v>
      </c>
      <c r="B253" s="6">
        <v>1</v>
      </c>
    </row>
    <row r="254" spans="1:2" x14ac:dyDescent="0.25">
      <c r="A254" s="7">
        <v>0.74513888888888891</v>
      </c>
      <c r="B254" s="6">
        <v>1</v>
      </c>
    </row>
    <row r="255" spans="1:2" x14ac:dyDescent="0.25">
      <c r="A255" s="7">
        <v>0.74583333333333324</v>
      </c>
      <c r="B255" s="6">
        <v>3</v>
      </c>
    </row>
    <row r="256" spans="1:2" x14ac:dyDescent="0.25">
      <c r="A256" s="7">
        <v>0.74652777777777779</v>
      </c>
      <c r="B256" s="6">
        <v>2</v>
      </c>
    </row>
    <row r="257" spans="1:2" x14ac:dyDescent="0.25">
      <c r="A257" s="7">
        <v>0.74722222222222223</v>
      </c>
      <c r="B257" s="6">
        <v>2</v>
      </c>
    </row>
    <row r="258" spans="1:2" x14ac:dyDescent="0.25">
      <c r="A258" s="7">
        <v>0.74791666666666667</v>
      </c>
      <c r="B258" s="6">
        <v>1</v>
      </c>
    </row>
    <row r="259" spans="1:2" x14ac:dyDescent="0.25">
      <c r="A259" s="7">
        <v>0.74861111111111101</v>
      </c>
      <c r="B259" s="6">
        <v>1</v>
      </c>
    </row>
    <row r="260" spans="1:2" x14ac:dyDescent="0.25">
      <c r="A260" s="7">
        <v>0.74930555555555556</v>
      </c>
      <c r="B260" s="6">
        <v>2</v>
      </c>
    </row>
    <row r="261" spans="1:2" x14ac:dyDescent="0.25">
      <c r="A261" s="7">
        <v>0.75069444444444444</v>
      </c>
      <c r="B261" s="6">
        <v>1</v>
      </c>
    </row>
    <row r="262" spans="1:2" x14ac:dyDescent="0.25">
      <c r="A262" s="7">
        <v>0.75138888888888899</v>
      </c>
      <c r="B262" s="6">
        <v>3</v>
      </c>
    </row>
    <row r="263" spans="1:2" x14ac:dyDescent="0.25">
      <c r="A263" s="7">
        <v>0.75208333333333333</v>
      </c>
      <c r="B263" s="6">
        <v>1</v>
      </c>
    </row>
    <row r="264" spans="1:2" x14ac:dyDescent="0.25">
      <c r="A264" s="7">
        <v>0.75277777777777777</v>
      </c>
      <c r="B264" s="6">
        <v>1</v>
      </c>
    </row>
    <row r="265" spans="1:2" x14ac:dyDescent="0.25">
      <c r="A265" s="7">
        <v>0.75347222222222221</v>
      </c>
      <c r="B265" s="6">
        <v>1</v>
      </c>
    </row>
    <row r="266" spans="1:2" x14ac:dyDescent="0.25">
      <c r="A266" s="7">
        <v>0.75486111111111109</v>
      </c>
      <c r="B266" s="6">
        <v>4</v>
      </c>
    </row>
    <row r="267" spans="1:2" x14ac:dyDescent="0.25">
      <c r="A267" s="7">
        <v>0.75555555555555554</v>
      </c>
      <c r="B267" s="6">
        <v>1</v>
      </c>
    </row>
    <row r="268" spans="1:2" x14ac:dyDescent="0.25">
      <c r="A268" s="7">
        <v>0.75624999999999998</v>
      </c>
      <c r="B268" s="6">
        <v>1</v>
      </c>
    </row>
    <row r="269" spans="1:2" x14ac:dyDescent="0.25">
      <c r="A269" s="7">
        <v>0.75694444444444453</v>
      </c>
      <c r="B269" s="6">
        <v>1</v>
      </c>
    </row>
    <row r="270" spans="1:2" x14ac:dyDescent="0.25">
      <c r="A270" s="7">
        <v>0.7583333333333333</v>
      </c>
      <c r="B270" s="6">
        <v>2</v>
      </c>
    </row>
    <row r="271" spans="1:2" x14ac:dyDescent="0.25">
      <c r="A271" s="7">
        <v>0.75902777777777775</v>
      </c>
      <c r="B271" s="6">
        <v>1</v>
      </c>
    </row>
    <row r="272" spans="1:2" x14ac:dyDescent="0.25">
      <c r="A272" s="7">
        <v>0.7597222222222223</v>
      </c>
      <c r="B272" s="6">
        <v>2</v>
      </c>
    </row>
    <row r="273" spans="1:2" x14ac:dyDescent="0.25">
      <c r="A273" s="7">
        <v>0.76041666666666663</v>
      </c>
      <c r="B273" s="6">
        <v>1</v>
      </c>
    </row>
    <row r="274" spans="1:2" x14ac:dyDescent="0.25">
      <c r="A274" s="7">
        <v>0.76111111111111107</v>
      </c>
      <c r="B274" s="6">
        <v>3</v>
      </c>
    </row>
    <row r="275" spans="1:2" x14ac:dyDescent="0.25">
      <c r="A275" s="7">
        <v>0.76180555555555562</v>
      </c>
      <c r="B275" s="6">
        <v>1</v>
      </c>
    </row>
    <row r="276" spans="1:2" x14ac:dyDescent="0.25">
      <c r="A276" s="7">
        <v>0.76250000000000007</v>
      </c>
      <c r="B276" s="6">
        <v>1</v>
      </c>
    </row>
    <row r="277" spans="1:2" x14ac:dyDescent="0.25">
      <c r="A277" s="7">
        <v>0.76527777777777783</v>
      </c>
      <c r="B277" s="6">
        <v>1</v>
      </c>
    </row>
    <row r="278" spans="1:2" x14ac:dyDescent="0.25">
      <c r="A278" s="7">
        <v>0.76597222222222217</v>
      </c>
      <c r="B278" s="6">
        <v>1</v>
      </c>
    </row>
    <row r="279" spans="1:2" x14ac:dyDescent="0.25">
      <c r="A279" s="7">
        <v>0.76666666666666661</v>
      </c>
      <c r="B279" s="6">
        <v>1</v>
      </c>
    </row>
    <row r="280" spans="1:2" x14ac:dyDescent="0.25">
      <c r="A280" s="7">
        <v>0.76736111111111116</v>
      </c>
      <c r="B280" s="6">
        <v>3</v>
      </c>
    </row>
    <row r="281" spans="1:2" x14ac:dyDescent="0.25">
      <c r="A281" s="7">
        <v>0.7680555555555556</v>
      </c>
      <c r="B281" s="6">
        <v>2</v>
      </c>
    </row>
    <row r="282" spans="1:2" x14ac:dyDescent="0.25">
      <c r="A282" s="7">
        <v>0.76874999999999993</v>
      </c>
      <c r="B282" s="6">
        <v>1</v>
      </c>
    </row>
    <row r="283" spans="1:2" x14ac:dyDescent="0.25">
      <c r="A283" s="7">
        <v>0.76944444444444438</v>
      </c>
      <c r="B283" s="6">
        <v>3</v>
      </c>
    </row>
    <row r="284" spans="1:2" x14ac:dyDescent="0.25">
      <c r="A284" s="7">
        <v>0.77013888888888893</v>
      </c>
      <c r="B284" s="6">
        <v>2</v>
      </c>
    </row>
    <row r="285" spans="1:2" x14ac:dyDescent="0.25">
      <c r="A285" s="7">
        <v>0.77083333333333337</v>
      </c>
      <c r="B285" s="6">
        <v>1</v>
      </c>
    </row>
    <row r="286" spans="1:2" x14ac:dyDescent="0.25">
      <c r="A286" s="7">
        <v>0.7715277777777777</v>
      </c>
      <c r="B286" s="6">
        <v>1</v>
      </c>
    </row>
    <row r="287" spans="1:2" x14ac:dyDescent="0.25">
      <c r="A287" s="7">
        <v>0.7729166666666667</v>
      </c>
      <c r="B287" s="6">
        <v>3</v>
      </c>
    </row>
    <row r="288" spans="1:2" x14ac:dyDescent="0.25">
      <c r="A288" s="7">
        <v>0.77361111111111114</v>
      </c>
      <c r="B288" s="6">
        <v>1</v>
      </c>
    </row>
    <row r="289" spans="1:2" x14ac:dyDescent="0.25">
      <c r="A289" s="7">
        <v>0.77430555555555547</v>
      </c>
      <c r="B289" s="6">
        <v>2</v>
      </c>
    </row>
    <row r="290" spans="1:2" x14ac:dyDescent="0.25">
      <c r="A290" s="7">
        <v>0.77569444444444446</v>
      </c>
      <c r="B290" s="6">
        <v>2</v>
      </c>
    </row>
    <row r="291" spans="1:2" x14ac:dyDescent="0.25">
      <c r="A291" s="7">
        <v>0.77638888888888891</v>
      </c>
      <c r="B291" s="6">
        <v>3</v>
      </c>
    </row>
    <row r="292" spans="1:2" x14ac:dyDescent="0.25">
      <c r="A292" s="7">
        <v>0.77708333333333324</v>
      </c>
      <c r="B292" s="6">
        <v>1</v>
      </c>
    </row>
    <row r="293" spans="1:2" x14ac:dyDescent="0.25">
      <c r="A293" s="7">
        <v>0.77777777777777779</v>
      </c>
      <c r="B293" s="6">
        <v>2</v>
      </c>
    </row>
    <row r="294" spans="1:2" x14ac:dyDescent="0.25">
      <c r="A294" s="7">
        <v>0.77916666666666667</v>
      </c>
      <c r="B294" s="6">
        <v>2</v>
      </c>
    </row>
    <row r="295" spans="1:2" x14ac:dyDescent="0.25">
      <c r="A295" s="7">
        <v>0.77986111111111101</v>
      </c>
      <c r="B295" s="6">
        <v>1</v>
      </c>
    </row>
    <row r="296" spans="1:2" x14ac:dyDescent="0.25">
      <c r="A296" s="7">
        <v>0.78055555555555556</v>
      </c>
      <c r="B296" s="6">
        <v>2</v>
      </c>
    </row>
    <row r="297" spans="1:2" x14ac:dyDescent="0.25">
      <c r="A297" s="7">
        <v>0.78194444444444444</v>
      </c>
      <c r="B297" s="6">
        <v>2</v>
      </c>
    </row>
    <row r="298" spans="1:2" x14ac:dyDescent="0.25">
      <c r="A298" s="7">
        <v>0.78333333333333333</v>
      </c>
      <c r="B298" s="6">
        <v>2</v>
      </c>
    </row>
    <row r="299" spans="1:2" x14ac:dyDescent="0.25">
      <c r="A299" s="7">
        <v>0.78402777777777777</v>
      </c>
      <c r="B299" s="6">
        <v>1</v>
      </c>
    </row>
    <row r="300" spans="1:2" x14ac:dyDescent="0.25">
      <c r="A300" s="7">
        <v>0.78472222222222221</v>
      </c>
      <c r="B300" s="6">
        <v>2</v>
      </c>
    </row>
    <row r="301" spans="1:2" x14ac:dyDescent="0.25">
      <c r="A301" s="7">
        <v>0.78611111111111109</v>
      </c>
      <c r="B301" s="6">
        <v>2</v>
      </c>
    </row>
    <row r="302" spans="1:2" x14ac:dyDescent="0.25">
      <c r="A302" s="7">
        <v>0.78680555555555554</v>
      </c>
      <c r="B302" s="6">
        <v>1</v>
      </c>
    </row>
    <row r="303" spans="1:2" x14ac:dyDescent="0.25">
      <c r="A303" s="7">
        <v>0.78749999999999998</v>
      </c>
      <c r="B303" s="6">
        <v>3</v>
      </c>
    </row>
    <row r="304" spans="1:2" x14ac:dyDescent="0.25">
      <c r="A304" s="7">
        <v>0.78819444444444453</v>
      </c>
      <c r="B304" s="6">
        <v>1</v>
      </c>
    </row>
    <row r="305" spans="1:2" x14ac:dyDescent="0.25">
      <c r="A305" s="7">
        <v>0.78888888888888886</v>
      </c>
      <c r="B305" s="6">
        <v>1</v>
      </c>
    </row>
    <row r="306" spans="1:2" x14ac:dyDescent="0.25">
      <c r="A306" s="7">
        <v>0.7895833333333333</v>
      </c>
      <c r="B306" s="6">
        <v>1</v>
      </c>
    </row>
    <row r="307" spans="1:2" x14ac:dyDescent="0.25">
      <c r="A307" s="7">
        <v>0.79027777777777775</v>
      </c>
      <c r="B307" s="6">
        <v>1</v>
      </c>
    </row>
    <row r="308" spans="1:2" x14ac:dyDescent="0.25">
      <c r="A308" s="7">
        <v>0.7909722222222223</v>
      </c>
      <c r="B308" s="6">
        <v>1</v>
      </c>
    </row>
    <row r="309" spans="1:2" x14ac:dyDescent="0.25">
      <c r="A309" s="7">
        <v>0.79166666666666663</v>
      </c>
      <c r="B309" s="6">
        <v>4</v>
      </c>
    </row>
    <row r="310" spans="1:2" x14ac:dyDescent="0.25">
      <c r="A310" s="7">
        <v>0.79236111111111107</v>
      </c>
      <c r="B310" s="6">
        <v>2</v>
      </c>
    </row>
    <row r="311" spans="1:2" x14ac:dyDescent="0.25">
      <c r="A311" s="7">
        <v>0.79305555555555562</v>
      </c>
      <c r="B311" s="6">
        <v>1</v>
      </c>
    </row>
    <row r="312" spans="1:2" x14ac:dyDescent="0.25">
      <c r="A312" s="7">
        <v>0.79375000000000007</v>
      </c>
      <c r="B312" s="6">
        <v>4</v>
      </c>
    </row>
    <row r="313" spans="1:2" x14ac:dyDescent="0.25">
      <c r="A313" s="7">
        <v>0.79513888888888884</v>
      </c>
      <c r="B313" s="6">
        <v>2</v>
      </c>
    </row>
    <row r="314" spans="1:2" x14ac:dyDescent="0.25">
      <c r="A314" s="7">
        <v>0.79583333333333339</v>
      </c>
      <c r="B314" s="6">
        <v>1</v>
      </c>
    </row>
    <row r="315" spans="1:2" x14ac:dyDescent="0.25">
      <c r="A315" s="7">
        <v>0.79652777777777783</v>
      </c>
      <c r="B315" s="6">
        <v>2</v>
      </c>
    </row>
    <row r="316" spans="1:2" x14ac:dyDescent="0.25">
      <c r="A316" s="7">
        <v>0.79722222222222217</v>
      </c>
      <c r="B316" s="6">
        <v>1</v>
      </c>
    </row>
    <row r="317" spans="1:2" x14ac:dyDescent="0.25">
      <c r="A317" s="7">
        <v>0.79791666666666661</v>
      </c>
      <c r="B317" s="6">
        <v>1</v>
      </c>
    </row>
    <row r="318" spans="1:2" x14ac:dyDescent="0.25">
      <c r="A318" s="7">
        <v>0.79861111111111116</v>
      </c>
      <c r="B318" s="6">
        <v>1</v>
      </c>
    </row>
    <row r="319" spans="1:2" x14ac:dyDescent="0.25">
      <c r="A319" s="7">
        <v>0.7993055555555556</v>
      </c>
      <c r="B319" s="6">
        <v>1</v>
      </c>
    </row>
    <row r="320" spans="1:2" x14ac:dyDescent="0.25">
      <c r="A320" s="7">
        <v>0.80069444444444438</v>
      </c>
      <c r="B320" s="6">
        <v>2</v>
      </c>
    </row>
    <row r="321" spans="1:2" x14ac:dyDescent="0.25">
      <c r="A321" s="7">
        <v>0.8027777777777777</v>
      </c>
      <c r="B321" s="6">
        <v>4</v>
      </c>
    </row>
    <row r="322" spans="1:2" x14ac:dyDescent="0.25">
      <c r="A322" s="7">
        <v>0.8041666666666667</v>
      </c>
      <c r="B322" s="6">
        <v>1</v>
      </c>
    </row>
    <row r="323" spans="1:2" x14ac:dyDescent="0.25">
      <c r="A323" s="7">
        <v>0.80486111111111114</v>
      </c>
      <c r="B323" s="6">
        <v>2</v>
      </c>
    </row>
    <row r="324" spans="1:2" x14ac:dyDescent="0.25">
      <c r="A324" s="7">
        <v>0.80625000000000002</v>
      </c>
      <c r="B324" s="6">
        <v>1</v>
      </c>
    </row>
    <row r="325" spans="1:2" x14ac:dyDescent="0.25">
      <c r="A325" s="7">
        <v>0.80763888888888891</v>
      </c>
      <c r="B325" s="6">
        <v>1</v>
      </c>
    </row>
    <row r="326" spans="1:2" x14ac:dyDescent="0.25">
      <c r="A326" s="7">
        <v>0.80902777777777779</v>
      </c>
      <c r="B326" s="6">
        <v>1</v>
      </c>
    </row>
    <row r="327" spans="1:2" x14ac:dyDescent="0.25">
      <c r="A327" s="7">
        <v>0.80972222222222223</v>
      </c>
      <c r="B327" s="6">
        <v>1</v>
      </c>
    </row>
    <row r="328" spans="1:2" x14ac:dyDescent="0.25">
      <c r="A328" s="7">
        <v>0.81041666666666667</v>
      </c>
      <c r="B328" s="6">
        <v>2</v>
      </c>
    </row>
    <row r="329" spans="1:2" x14ac:dyDescent="0.25">
      <c r="A329" s="7">
        <v>0.81111111111111101</v>
      </c>
      <c r="B329" s="6">
        <v>4</v>
      </c>
    </row>
    <row r="330" spans="1:2" x14ac:dyDescent="0.25">
      <c r="A330" s="7">
        <v>0.8125</v>
      </c>
      <c r="B330" s="6">
        <v>1</v>
      </c>
    </row>
    <row r="331" spans="1:2" x14ac:dyDescent="0.25">
      <c r="A331" s="7">
        <v>0.81388888888888899</v>
      </c>
      <c r="B331" s="6">
        <v>1</v>
      </c>
    </row>
    <row r="332" spans="1:2" x14ac:dyDescent="0.25">
      <c r="A332" s="7">
        <v>0.81458333333333333</v>
      </c>
      <c r="B332" s="6">
        <v>2</v>
      </c>
    </row>
    <row r="333" spans="1:2" x14ac:dyDescent="0.25">
      <c r="A333" s="7">
        <v>0.81527777777777777</v>
      </c>
      <c r="B333" s="6">
        <v>1</v>
      </c>
    </row>
    <row r="334" spans="1:2" x14ac:dyDescent="0.25">
      <c r="A334" s="7">
        <v>0.81666666666666676</v>
      </c>
      <c r="B334" s="6">
        <v>1</v>
      </c>
    </row>
    <row r="335" spans="1:2" x14ac:dyDescent="0.25">
      <c r="A335" s="7">
        <v>0.81736111111111109</v>
      </c>
      <c r="B335" s="6">
        <v>2</v>
      </c>
    </row>
    <row r="336" spans="1:2" x14ac:dyDescent="0.25">
      <c r="A336" s="7">
        <v>0.81944444444444453</v>
      </c>
      <c r="B336" s="6">
        <v>2</v>
      </c>
    </row>
    <row r="337" spans="1:2" x14ac:dyDescent="0.25">
      <c r="A337" s="7">
        <v>0.82013888888888886</v>
      </c>
      <c r="B337" s="6">
        <v>1</v>
      </c>
    </row>
    <row r="338" spans="1:2" x14ac:dyDescent="0.25">
      <c r="A338" s="7">
        <v>0.8222222222222223</v>
      </c>
      <c r="B338" s="6">
        <v>1</v>
      </c>
    </row>
    <row r="339" spans="1:2" x14ac:dyDescent="0.25">
      <c r="A339" s="7">
        <v>0.82361111111111107</v>
      </c>
      <c r="B339" s="6">
        <v>2</v>
      </c>
    </row>
    <row r="340" spans="1:2" x14ac:dyDescent="0.25">
      <c r="A340" s="7">
        <v>0.82430555555555562</v>
      </c>
      <c r="B340" s="6">
        <v>1</v>
      </c>
    </row>
    <row r="341" spans="1:2" x14ac:dyDescent="0.25">
      <c r="A341" s="7">
        <v>0.8256944444444444</v>
      </c>
      <c r="B341" s="6">
        <v>2</v>
      </c>
    </row>
    <row r="342" spans="1:2" x14ac:dyDescent="0.25">
      <c r="A342" s="7">
        <v>0.82638888888888884</v>
      </c>
      <c r="B342" s="6">
        <v>1</v>
      </c>
    </row>
    <row r="343" spans="1:2" x14ac:dyDescent="0.25">
      <c r="A343" s="7">
        <v>0.82847222222222217</v>
      </c>
      <c r="B343" s="6">
        <v>2</v>
      </c>
    </row>
    <row r="344" spans="1:2" x14ac:dyDescent="0.25">
      <c r="A344" s="7">
        <v>0.82916666666666661</v>
      </c>
      <c r="B344" s="6">
        <v>3</v>
      </c>
    </row>
    <row r="345" spans="1:2" x14ac:dyDescent="0.25">
      <c r="A345" s="7">
        <v>0.82986111111111116</v>
      </c>
      <c r="B345" s="6">
        <v>3</v>
      </c>
    </row>
    <row r="346" spans="1:2" x14ac:dyDescent="0.25">
      <c r="A346" s="7">
        <v>0.8305555555555556</v>
      </c>
      <c r="B346" s="6">
        <v>1</v>
      </c>
    </row>
    <row r="347" spans="1:2" x14ac:dyDescent="0.25">
      <c r="A347" s="7">
        <v>0.83194444444444438</v>
      </c>
      <c r="B347" s="6">
        <v>2</v>
      </c>
    </row>
    <row r="348" spans="1:2" x14ac:dyDescent="0.25">
      <c r="A348" s="7">
        <v>0.83472222222222225</v>
      </c>
      <c r="B348" s="6">
        <v>1</v>
      </c>
    </row>
    <row r="349" spans="1:2" x14ac:dyDescent="0.25">
      <c r="A349" s="7">
        <v>0.83680555555555547</v>
      </c>
      <c r="B349" s="6">
        <v>1</v>
      </c>
    </row>
    <row r="350" spans="1:2" x14ac:dyDescent="0.25">
      <c r="A350" s="7">
        <v>0.84027777777777779</v>
      </c>
      <c r="B350" s="6">
        <v>1</v>
      </c>
    </row>
    <row r="351" spans="1:2" x14ac:dyDescent="0.25">
      <c r="A351" s="7">
        <v>0.84513888888888899</v>
      </c>
      <c r="B351" s="6">
        <v>1</v>
      </c>
    </row>
    <row r="352" spans="1:2" x14ac:dyDescent="0.25">
      <c r="A352" s="4" t="s">
        <v>67</v>
      </c>
      <c r="B352" s="6"/>
    </row>
    <row r="353" spans="1:2" x14ac:dyDescent="0.25">
      <c r="A353" s="4" t="s">
        <v>54</v>
      </c>
      <c r="B353" s="6">
        <v>588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B13"/>
  <sheetViews>
    <sheetView workbookViewId="0">
      <selection activeCell="B22" sqref="B22"/>
    </sheetView>
  </sheetViews>
  <sheetFormatPr defaultRowHeight="15" x14ac:dyDescent="0.25"/>
  <cols>
    <col min="1" max="1" width="18" bestFit="1" customWidth="1"/>
    <col min="2" max="2" width="25.140625" bestFit="1" customWidth="1"/>
  </cols>
  <sheetData>
    <row r="1" spans="1:2" x14ac:dyDescent="0.25">
      <c r="A1" s="3" t="s">
        <v>66</v>
      </c>
      <c r="B1" t="s">
        <v>65</v>
      </c>
    </row>
    <row r="2" spans="1:2" x14ac:dyDescent="0.25">
      <c r="A2" s="4" t="s">
        <v>71</v>
      </c>
      <c r="B2" s="6"/>
    </row>
    <row r="3" spans="1:2" x14ac:dyDescent="0.25">
      <c r="A3" s="4" t="s">
        <v>72</v>
      </c>
      <c r="B3" s="6">
        <v>47</v>
      </c>
    </row>
    <row r="4" spans="1:2" x14ac:dyDescent="0.25">
      <c r="A4" s="4" t="s">
        <v>73</v>
      </c>
      <c r="B4" s="6">
        <v>80</v>
      </c>
    </row>
    <row r="5" spans="1:2" x14ac:dyDescent="0.25">
      <c r="A5" s="4" t="s">
        <v>74</v>
      </c>
      <c r="B5" s="6">
        <v>72</v>
      </c>
    </row>
    <row r="6" spans="1:2" x14ac:dyDescent="0.25">
      <c r="A6" s="4" t="s">
        <v>75</v>
      </c>
      <c r="B6" s="6">
        <v>5</v>
      </c>
    </row>
    <row r="7" spans="1:2" x14ac:dyDescent="0.25">
      <c r="A7" s="4" t="s">
        <v>76</v>
      </c>
      <c r="B7" s="6">
        <v>63</v>
      </c>
    </row>
    <row r="8" spans="1:2" x14ac:dyDescent="0.25">
      <c r="A8" s="4" t="s">
        <v>77</v>
      </c>
      <c r="B8" s="6">
        <v>88</v>
      </c>
    </row>
    <row r="9" spans="1:2" x14ac:dyDescent="0.25">
      <c r="A9" s="4" t="s">
        <v>78</v>
      </c>
      <c r="B9" s="6">
        <v>83</v>
      </c>
    </row>
    <row r="10" spans="1:2" x14ac:dyDescent="0.25">
      <c r="A10" s="4" t="s">
        <v>79</v>
      </c>
      <c r="B10" s="6">
        <v>78</v>
      </c>
    </row>
    <row r="11" spans="1:2" x14ac:dyDescent="0.25">
      <c r="A11" s="4" t="s">
        <v>80</v>
      </c>
      <c r="B11" s="6">
        <v>68</v>
      </c>
    </row>
    <row r="12" spans="1:2" x14ac:dyDescent="0.25">
      <c r="A12" s="4" t="s">
        <v>81</v>
      </c>
      <c r="B12" s="6">
        <v>4</v>
      </c>
    </row>
    <row r="13" spans="1:2" x14ac:dyDescent="0.25">
      <c r="A13" s="4" t="s">
        <v>54</v>
      </c>
      <c r="B13" s="6">
        <v>588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B13"/>
  <sheetViews>
    <sheetView workbookViewId="0">
      <selection activeCell="C25" sqref="C25"/>
    </sheetView>
  </sheetViews>
  <sheetFormatPr defaultRowHeight="15" x14ac:dyDescent="0.25"/>
  <cols>
    <col min="1" max="1" width="18" bestFit="1" customWidth="1"/>
    <col min="2" max="2" width="21.85546875" customWidth="1"/>
    <col min="3" max="3" width="26.28515625" bestFit="1" customWidth="1"/>
  </cols>
  <sheetData>
    <row r="1" spans="1:2" x14ac:dyDescent="0.25">
      <c r="A1" s="3" t="s">
        <v>66</v>
      </c>
      <c r="B1" t="s">
        <v>82</v>
      </c>
    </row>
    <row r="2" spans="1:2" x14ac:dyDescent="0.25">
      <c r="A2" s="4" t="s">
        <v>71</v>
      </c>
      <c r="B2" s="6"/>
    </row>
    <row r="3" spans="1:2" x14ac:dyDescent="0.25">
      <c r="A3" s="4" t="s">
        <v>72</v>
      </c>
      <c r="B3" s="6">
        <v>13.559148936170217</v>
      </c>
    </row>
    <row r="4" spans="1:2" x14ac:dyDescent="0.25">
      <c r="A4" s="4" t="s">
        <v>73</v>
      </c>
      <c r="B4" s="6">
        <v>7.8673750000000044</v>
      </c>
    </row>
    <row r="5" spans="1:2" x14ac:dyDescent="0.25">
      <c r="A5" s="4" t="s">
        <v>74</v>
      </c>
      <c r="B5" s="6">
        <v>7.3434722222222222</v>
      </c>
    </row>
    <row r="6" spans="1:2" x14ac:dyDescent="0.25">
      <c r="A6" s="4" t="s">
        <v>75</v>
      </c>
      <c r="B6" s="6">
        <v>6.9600000000000009</v>
      </c>
    </row>
    <row r="7" spans="1:2" x14ac:dyDescent="0.25">
      <c r="A7" s="4" t="s">
        <v>76</v>
      </c>
      <c r="B7" s="6">
        <v>6.8934920634920633</v>
      </c>
    </row>
    <row r="8" spans="1:2" x14ac:dyDescent="0.25">
      <c r="A8" s="4" t="s">
        <v>77</v>
      </c>
      <c r="B8" s="6">
        <v>7.6057954545454542</v>
      </c>
    </row>
    <row r="9" spans="1:2" x14ac:dyDescent="0.25">
      <c r="A9" s="4" t="s">
        <v>78</v>
      </c>
      <c r="B9" s="6">
        <v>9.6026506024096392</v>
      </c>
    </row>
    <row r="10" spans="1:2" x14ac:dyDescent="0.25">
      <c r="A10" s="4" t="s">
        <v>79</v>
      </c>
      <c r="B10" s="6">
        <v>8.3202564102564125</v>
      </c>
    </row>
    <row r="11" spans="1:2" x14ac:dyDescent="0.25">
      <c r="A11" s="4" t="s">
        <v>80</v>
      </c>
      <c r="B11" s="6">
        <v>7.6308823529411782</v>
      </c>
    </row>
    <row r="12" spans="1:2" x14ac:dyDescent="0.25">
      <c r="A12" s="4" t="s">
        <v>81</v>
      </c>
      <c r="B12" s="6">
        <v>6.6</v>
      </c>
    </row>
    <row r="13" spans="1:2" x14ac:dyDescent="0.25">
      <c r="A13" s="4" t="s">
        <v>54</v>
      </c>
      <c r="B13" s="6">
        <v>8.3760204081632725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3:E7"/>
  <sheetViews>
    <sheetView topLeftCell="A4" workbookViewId="0">
      <selection activeCell="B6" sqref="B6"/>
    </sheetView>
  </sheetViews>
  <sheetFormatPr defaultRowHeight="15" x14ac:dyDescent="0.25"/>
  <cols>
    <col min="1" max="1" width="21.85546875" customWidth="1"/>
    <col min="2" max="2" width="19.5703125" customWidth="1"/>
    <col min="3" max="6" width="12" customWidth="1"/>
    <col min="7" max="7" width="6.140625" customWidth="1"/>
    <col min="8" max="8" width="6.7109375" customWidth="1"/>
    <col min="9" max="9" width="7" customWidth="1"/>
    <col min="10" max="10" width="20.42578125" bestFit="1" customWidth="1"/>
    <col min="11" max="11" width="6.140625" customWidth="1"/>
    <col min="12" max="12" width="6.7109375" customWidth="1"/>
    <col min="13" max="13" width="7" customWidth="1"/>
    <col min="14" max="14" width="26.85546875" bestFit="1" customWidth="1"/>
    <col min="15" max="15" width="31.85546875" bestFit="1" customWidth="1"/>
    <col min="16" max="16" width="25.5703125" bestFit="1" customWidth="1"/>
  </cols>
  <sheetData>
    <row r="3" spans="1:5" x14ac:dyDescent="0.25">
      <c r="A3" s="3" t="s">
        <v>82</v>
      </c>
      <c r="B3" s="3" t="s">
        <v>64</v>
      </c>
    </row>
    <row r="4" spans="1:5" x14ac:dyDescent="0.25">
      <c r="A4" s="3" t="s">
        <v>66</v>
      </c>
      <c r="B4" t="s">
        <v>61</v>
      </c>
      <c r="C4" t="s">
        <v>59</v>
      </c>
      <c r="D4" t="s">
        <v>62</v>
      </c>
      <c r="E4" t="s">
        <v>54</v>
      </c>
    </row>
    <row r="5" spans="1:5" x14ac:dyDescent="0.25">
      <c r="A5" s="4" t="s">
        <v>42</v>
      </c>
      <c r="B5" s="6">
        <v>7.2258227848101271</v>
      </c>
      <c r="C5" s="6">
        <v>7.9483157894736873</v>
      </c>
      <c r="D5" s="6">
        <v>16.809000000000001</v>
      </c>
      <c r="E5" s="6">
        <v>8.9715686274509814</v>
      </c>
    </row>
    <row r="6" spans="1:5" x14ac:dyDescent="0.25">
      <c r="A6" s="4" t="s">
        <v>7</v>
      </c>
      <c r="B6" s="6">
        <v>6.97658959537572</v>
      </c>
      <c r="C6" s="6">
        <v>7.8881249999999996</v>
      </c>
      <c r="D6" s="6">
        <v>14.275428571428572</v>
      </c>
      <c r="E6" s="6">
        <v>8.0596354166666604</v>
      </c>
    </row>
    <row r="7" spans="1:5" x14ac:dyDescent="0.25">
      <c r="A7" s="4" t="s">
        <v>54</v>
      </c>
      <c r="B7" s="6">
        <v>7.0547222222222201</v>
      </c>
      <c r="C7" s="6">
        <v>7.9092250922509182</v>
      </c>
      <c r="D7" s="6">
        <v>15.444769230769234</v>
      </c>
      <c r="E7" s="6">
        <v>8.3760204081632619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B14"/>
  <sheetViews>
    <sheetView workbookViewId="0">
      <selection activeCell="K12" sqref="K12"/>
    </sheetView>
  </sheetViews>
  <sheetFormatPr defaultRowHeight="15" x14ac:dyDescent="0.25"/>
  <cols>
    <col min="1" max="1" width="14.85546875" customWidth="1"/>
    <col min="2" max="2" width="12.140625" customWidth="1"/>
  </cols>
  <sheetData>
    <row r="1" spans="1:2" x14ac:dyDescent="0.25">
      <c r="A1" s="3" t="s">
        <v>70</v>
      </c>
      <c r="B1" t="s">
        <v>57</v>
      </c>
    </row>
    <row r="2" spans="1:2" x14ac:dyDescent="0.25">
      <c r="A2" s="4" t="s">
        <v>71</v>
      </c>
      <c r="B2" s="6"/>
    </row>
    <row r="3" spans="1:2" x14ac:dyDescent="0.25">
      <c r="A3" s="4" t="s">
        <v>72</v>
      </c>
      <c r="B3" s="6">
        <v>637.2800000000002</v>
      </c>
    </row>
    <row r="4" spans="1:2" x14ac:dyDescent="0.25">
      <c r="A4" s="4" t="s">
        <v>73</v>
      </c>
      <c r="B4" s="6">
        <v>629.39000000000033</v>
      </c>
    </row>
    <row r="5" spans="1:2" x14ac:dyDescent="0.25">
      <c r="A5" s="4" t="s">
        <v>74</v>
      </c>
      <c r="B5" s="6">
        <v>528.73</v>
      </c>
    </row>
    <row r="6" spans="1:2" x14ac:dyDescent="0.25">
      <c r="A6" s="4" t="s">
        <v>75</v>
      </c>
      <c r="B6" s="6">
        <v>34.800000000000004</v>
      </c>
    </row>
    <row r="7" spans="1:2" x14ac:dyDescent="0.25">
      <c r="A7" s="4" t="s">
        <v>76</v>
      </c>
      <c r="B7" s="6">
        <v>434.28999999999996</v>
      </c>
    </row>
    <row r="8" spans="1:2" x14ac:dyDescent="0.25">
      <c r="A8" s="4" t="s">
        <v>77</v>
      </c>
      <c r="B8" s="6">
        <v>669.31</v>
      </c>
    </row>
    <row r="9" spans="1:2" x14ac:dyDescent="0.25">
      <c r="A9" s="4" t="s">
        <v>78</v>
      </c>
      <c r="B9" s="6">
        <v>797.02</v>
      </c>
    </row>
    <row r="10" spans="1:2" x14ac:dyDescent="0.25">
      <c r="A10" s="4" t="s">
        <v>79</v>
      </c>
      <c r="B10" s="6">
        <v>648.98000000000013</v>
      </c>
    </row>
    <row r="11" spans="1:2" x14ac:dyDescent="0.25">
      <c r="A11" s="4" t="s">
        <v>80</v>
      </c>
      <c r="B11" s="6">
        <v>518.90000000000009</v>
      </c>
    </row>
    <row r="12" spans="1:2" x14ac:dyDescent="0.25">
      <c r="A12" s="4" t="s">
        <v>81</v>
      </c>
      <c r="B12" s="6">
        <v>26.4</v>
      </c>
    </row>
    <row r="13" spans="1:2" x14ac:dyDescent="0.25">
      <c r="A13" s="4" t="s">
        <v>67</v>
      </c>
      <c r="B13" s="6"/>
    </row>
    <row r="14" spans="1:2" x14ac:dyDescent="0.25">
      <c r="A14" s="4" t="s">
        <v>54</v>
      </c>
      <c r="B14" s="6">
        <v>4925.1000000000004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D12"/>
  <sheetViews>
    <sheetView workbookViewId="0">
      <selection activeCell="B3" sqref="B3"/>
    </sheetView>
  </sheetViews>
  <sheetFormatPr defaultRowHeight="15" x14ac:dyDescent="0.25"/>
  <cols>
    <col min="1" max="1" width="20.85546875" customWidth="1"/>
    <col min="2" max="2" width="19.5703125" bestFit="1" customWidth="1"/>
    <col min="3" max="3" width="8" customWidth="1"/>
    <col min="4" max="4" width="10.7109375" customWidth="1"/>
    <col min="5" max="5" width="4" customWidth="1"/>
    <col min="6" max="6" width="5" customWidth="1"/>
    <col min="7" max="7" width="4" customWidth="1"/>
    <col min="8" max="8" width="2" customWidth="1"/>
    <col min="9" max="9" width="4" customWidth="1"/>
    <col min="10" max="10" width="5" customWidth="1"/>
    <col min="11" max="14" width="4" customWidth="1"/>
    <col min="15" max="15" width="5" customWidth="1"/>
    <col min="16" max="16" width="4" customWidth="1"/>
    <col min="17" max="17" width="5" customWidth="1"/>
    <col min="18" max="19" width="4" customWidth="1"/>
    <col min="20" max="20" width="5" customWidth="1"/>
    <col min="21" max="21" width="2" customWidth="1"/>
    <col min="22" max="28" width="4" customWidth="1"/>
    <col min="29" max="29" width="2" customWidth="1"/>
    <col min="30" max="36" width="4" customWidth="1"/>
    <col min="37" max="37" width="3" customWidth="1"/>
    <col min="38" max="45" width="5" customWidth="1"/>
    <col min="46" max="46" width="6" customWidth="1"/>
    <col min="47" max="52" width="5" customWidth="1"/>
    <col min="53" max="54" width="6" customWidth="1"/>
    <col min="55" max="57" width="5" customWidth="1"/>
    <col min="58" max="58" width="3" customWidth="1"/>
    <col min="59" max="65" width="5" customWidth="1"/>
    <col min="66" max="66" width="6" customWidth="1"/>
    <col min="67" max="67" width="5" customWidth="1"/>
    <col min="68" max="68" width="11.85546875" bestFit="1" customWidth="1"/>
    <col min="69" max="69" width="7.5703125" customWidth="1"/>
    <col min="70" max="73" width="4" customWidth="1"/>
    <col min="74" max="74" width="2" customWidth="1"/>
    <col min="75" max="75" width="4" customWidth="1"/>
    <col min="76" max="77" width="5" customWidth="1"/>
    <col min="78" max="78" width="4" customWidth="1"/>
    <col min="79" max="79" width="5" customWidth="1"/>
    <col min="80" max="80" width="4" customWidth="1"/>
    <col min="81" max="82" width="5" customWidth="1"/>
    <col min="83" max="83" width="4" customWidth="1"/>
    <col min="84" max="84" width="5" customWidth="1"/>
    <col min="85" max="85" width="4" customWidth="1"/>
    <col min="86" max="87" width="5" customWidth="1"/>
    <col min="88" max="89" width="4" customWidth="1"/>
    <col min="90" max="90" width="5" customWidth="1"/>
    <col min="91" max="91" width="4" customWidth="1"/>
    <col min="92" max="92" width="5" customWidth="1"/>
    <col min="93" max="93" width="4" customWidth="1"/>
    <col min="94" max="94" width="2" customWidth="1"/>
    <col min="95" max="95" width="4" customWidth="1"/>
    <col min="96" max="96" width="5" customWidth="1"/>
    <col min="97" max="97" width="4" customWidth="1"/>
    <col min="98" max="98" width="5" customWidth="1"/>
    <col min="99" max="100" width="4" customWidth="1"/>
    <col min="101" max="101" width="5" customWidth="1"/>
    <col min="102" max="106" width="4" customWidth="1"/>
    <col min="107" max="107" width="2" customWidth="1"/>
    <col min="108" max="115" width="4" customWidth="1"/>
    <col min="116" max="116" width="3" customWidth="1"/>
    <col min="117" max="117" width="6" customWidth="1"/>
    <col min="118" max="118" width="5" customWidth="1"/>
    <col min="119" max="119" width="6" customWidth="1"/>
    <col min="120" max="125" width="5" customWidth="1"/>
    <col min="126" max="126" width="3" customWidth="1"/>
    <col min="127" max="127" width="6" customWidth="1"/>
    <col min="128" max="130" width="5" customWidth="1"/>
    <col min="131" max="131" width="3" customWidth="1"/>
    <col min="132" max="138" width="5" customWidth="1"/>
    <col min="139" max="139" width="6" customWidth="1"/>
    <col min="140" max="145" width="5" customWidth="1"/>
    <col min="146" max="146" width="3" customWidth="1"/>
    <col min="147" max="149" width="5" customWidth="1"/>
    <col min="150" max="150" width="6" customWidth="1"/>
    <col min="151" max="153" width="5" customWidth="1"/>
    <col min="154" max="154" width="7" customWidth="1"/>
    <col min="155" max="155" width="10.5703125" bestFit="1" customWidth="1"/>
    <col min="156" max="156" width="10.7109375" bestFit="1" customWidth="1"/>
  </cols>
  <sheetData>
    <row r="1" spans="1:4" x14ac:dyDescent="0.25">
      <c r="A1" s="3" t="s">
        <v>117</v>
      </c>
      <c r="B1" s="3" t="s">
        <v>64</v>
      </c>
    </row>
    <row r="2" spans="1:4" x14ac:dyDescent="0.25">
      <c r="A2" s="3" t="s">
        <v>66</v>
      </c>
      <c r="B2" t="s">
        <v>7</v>
      </c>
      <c r="C2" t="s">
        <v>42</v>
      </c>
      <c r="D2" t="s">
        <v>54</v>
      </c>
    </row>
    <row r="3" spans="1:4" x14ac:dyDescent="0.25">
      <c r="A3" s="4" t="s">
        <v>6</v>
      </c>
      <c r="B3" s="6">
        <v>1440.3999999999992</v>
      </c>
      <c r="C3" s="6">
        <v>1124.6200000000006</v>
      </c>
      <c r="D3" s="6">
        <v>2565.0199999999995</v>
      </c>
    </row>
    <row r="4" spans="1:4" x14ac:dyDescent="0.25">
      <c r="A4" s="4" t="s">
        <v>15</v>
      </c>
      <c r="B4" s="6">
        <v>893.81000000000017</v>
      </c>
      <c r="C4" s="6">
        <v>225.00000000000003</v>
      </c>
      <c r="D4" s="6">
        <v>1118.8100000000002</v>
      </c>
    </row>
    <row r="5" spans="1:4" x14ac:dyDescent="0.25">
      <c r="A5" s="4" t="s">
        <v>85</v>
      </c>
      <c r="B5" s="6">
        <v>350.26</v>
      </c>
      <c r="C5" s="6">
        <v>258.59000000000003</v>
      </c>
      <c r="D5" s="6">
        <v>608.85</v>
      </c>
    </row>
    <row r="6" spans="1:4" x14ac:dyDescent="0.25">
      <c r="A6" s="4" t="s">
        <v>24</v>
      </c>
      <c r="B6" s="6">
        <v>101.7</v>
      </c>
      <c r="C6" s="6">
        <v>119.49000000000001</v>
      </c>
      <c r="D6" s="6">
        <v>221.19</v>
      </c>
    </row>
    <row r="7" spans="1:4" x14ac:dyDescent="0.25">
      <c r="A7" s="4" t="s">
        <v>83</v>
      </c>
      <c r="B7" s="6">
        <v>167.23999999999998</v>
      </c>
      <c r="C7" s="6">
        <v>6.6</v>
      </c>
      <c r="D7" s="6">
        <v>173.83999999999997</v>
      </c>
    </row>
    <row r="8" spans="1:4" x14ac:dyDescent="0.25">
      <c r="A8" s="4" t="s">
        <v>44</v>
      </c>
      <c r="B8" s="6">
        <v>98.4</v>
      </c>
      <c r="C8" s="6">
        <v>70.699999999999989</v>
      </c>
      <c r="D8" s="6">
        <v>169.1</v>
      </c>
    </row>
    <row r="9" spans="1:4" x14ac:dyDescent="0.25">
      <c r="A9" s="4" t="s">
        <v>84</v>
      </c>
      <c r="B9" s="6">
        <v>20.89</v>
      </c>
      <c r="C9" s="6">
        <v>6.5</v>
      </c>
      <c r="D9" s="6">
        <v>27.39</v>
      </c>
    </row>
    <row r="10" spans="1:4" x14ac:dyDescent="0.25">
      <c r="A10" s="4" t="s">
        <v>86</v>
      </c>
      <c r="B10" s="6">
        <v>15.7</v>
      </c>
      <c r="C10" s="6">
        <v>6.5</v>
      </c>
      <c r="D10" s="6">
        <v>22.2</v>
      </c>
    </row>
    <row r="11" spans="1:4" x14ac:dyDescent="0.25">
      <c r="A11" s="4" t="s">
        <v>47</v>
      </c>
      <c r="B11" s="6">
        <v>6.5</v>
      </c>
      <c r="C11" s="6">
        <v>12.2</v>
      </c>
      <c r="D11" s="6">
        <v>18.7</v>
      </c>
    </row>
    <row r="12" spans="1:4" x14ac:dyDescent="0.25">
      <c r="A12" s="4" t="s">
        <v>54</v>
      </c>
      <c r="B12" s="6">
        <v>3094.8999999999996</v>
      </c>
      <c r="C12" s="6">
        <v>1830.2000000000007</v>
      </c>
      <c r="D12" s="6">
        <v>4925.0999999999995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B12"/>
  <sheetViews>
    <sheetView workbookViewId="0">
      <selection activeCell="B10" sqref="B10"/>
    </sheetView>
  </sheetViews>
  <sheetFormatPr defaultRowHeight="15" x14ac:dyDescent="0.25"/>
  <cols>
    <col min="1" max="1" width="18" bestFit="1" customWidth="1"/>
    <col min="2" max="2" width="21.85546875" customWidth="1"/>
    <col min="3" max="3" width="26.28515625" bestFit="1" customWidth="1"/>
  </cols>
  <sheetData>
    <row r="1" spans="1:2" x14ac:dyDescent="0.25">
      <c r="A1" s="3" t="s">
        <v>66</v>
      </c>
      <c r="B1" t="s">
        <v>82</v>
      </c>
    </row>
    <row r="2" spans="1:2" x14ac:dyDescent="0.25">
      <c r="A2" s="4" t="s">
        <v>72</v>
      </c>
      <c r="B2" s="6">
        <v>13.559148936170217</v>
      </c>
    </row>
    <row r="3" spans="1:2" x14ac:dyDescent="0.25">
      <c r="A3" s="4" t="s">
        <v>78</v>
      </c>
      <c r="B3" s="6">
        <v>9.6026506024096392</v>
      </c>
    </row>
    <row r="4" spans="1:2" x14ac:dyDescent="0.25">
      <c r="A4" s="4" t="s">
        <v>79</v>
      </c>
      <c r="B4" s="6">
        <v>8.3202564102564125</v>
      </c>
    </row>
    <row r="5" spans="1:2" x14ac:dyDescent="0.25">
      <c r="A5" s="4" t="s">
        <v>73</v>
      </c>
      <c r="B5" s="6">
        <v>7.8673750000000044</v>
      </c>
    </row>
    <row r="6" spans="1:2" x14ac:dyDescent="0.25">
      <c r="A6" s="4" t="s">
        <v>80</v>
      </c>
      <c r="B6" s="6">
        <v>7.6308823529411782</v>
      </c>
    </row>
    <row r="7" spans="1:2" x14ac:dyDescent="0.25">
      <c r="A7" s="4" t="s">
        <v>77</v>
      </c>
      <c r="B7" s="6">
        <v>7.6057954545454542</v>
      </c>
    </row>
    <row r="8" spans="1:2" x14ac:dyDescent="0.25">
      <c r="A8" s="4" t="s">
        <v>74</v>
      </c>
      <c r="B8" s="6">
        <v>7.3434722222222222</v>
      </c>
    </row>
    <row r="9" spans="1:2" x14ac:dyDescent="0.25">
      <c r="A9" s="4" t="s">
        <v>75</v>
      </c>
      <c r="B9" s="6">
        <v>6.9600000000000009</v>
      </c>
    </row>
    <row r="10" spans="1:2" x14ac:dyDescent="0.25">
      <c r="A10" s="4" t="s">
        <v>76</v>
      </c>
      <c r="B10" s="6">
        <v>6.8934920634920633</v>
      </c>
    </row>
    <row r="11" spans="1:2" x14ac:dyDescent="0.25">
      <c r="A11" s="4" t="s">
        <v>81</v>
      </c>
      <c r="B11" s="6">
        <v>6.6</v>
      </c>
    </row>
    <row r="12" spans="1:2" x14ac:dyDescent="0.25">
      <c r="A12" s="4" t="s">
        <v>54</v>
      </c>
      <c r="B12" s="6">
        <v>8.3760204081632725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B13"/>
  <sheetViews>
    <sheetView workbookViewId="0">
      <selection activeCell="B9" sqref="B9"/>
    </sheetView>
  </sheetViews>
  <sheetFormatPr defaultRowHeight="15" x14ac:dyDescent="0.25"/>
  <cols>
    <col min="1" max="1" width="15.5703125" bestFit="1" customWidth="1"/>
    <col min="2" max="2" width="25.140625" bestFit="1" customWidth="1"/>
  </cols>
  <sheetData>
    <row r="1" spans="1:2" x14ac:dyDescent="0.25">
      <c r="A1" s="3" t="s">
        <v>140</v>
      </c>
      <c r="B1" t="s">
        <v>65</v>
      </c>
    </row>
    <row r="2" spans="1:2" x14ac:dyDescent="0.25">
      <c r="A2" s="4" t="s">
        <v>77</v>
      </c>
      <c r="B2" s="6">
        <v>88</v>
      </c>
    </row>
    <row r="3" spans="1:2" x14ac:dyDescent="0.25">
      <c r="A3" s="4" t="s">
        <v>78</v>
      </c>
      <c r="B3" s="6">
        <v>83</v>
      </c>
    </row>
    <row r="4" spans="1:2" x14ac:dyDescent="0.25">
      <c r="A4" s="4" t="s">
        <v>73</v>
      </c>
      <c r="B4" s="6">
        <v>80</v>
      </c>
    </row>
    <row r="5" spans="1:2" x14ac:dyDescent="0.25">
      <c r="A5" s="4" t="s">
        <v>79</v>
      </c>
      <c r="B5" s="6">
        <v>78</v>
      </c>
    </row>
    <row r="6" spans="1:2" x14ac:dyDescent="0.25">
      <c r="A6" s="4" t="s">
        <v>74</v>
      </c>
      <c r="B6" s="6">
        <v>72</v>
      </c>
    </row>
    <row r="7" spans="1:2" x14ac:dyDescent="0.25">
      <c r="A7" s="4" t="s">
        <v>80</v>
      </c>
      <c r="B7" s="6">
        <v>68</v>
      </c>
    </row>
    <row r="8" spans="1:2" x14ac:dyDescent="0.25">
      <c r="A8" s="4" t="s">
        <v>76</v>
      </c>
      <c r="B8" s="6">
        <v>63</v>
      </c>
    </row>
    <row r="9" spans="1:2" x14ac:dyDescent="0.25">
      <c r="A9" s="4" t="s">
        <v>72</v>
      </c>
      <c r="B9" s="6">
        <v>47</v>
      </c>
    </row>
    <row r="10" spans="1:2" x14ac:dyDescent="0.25">
      <c r="A10" s="4" t="s">
        <v>75</v>
      </c>
      <c r="B10" s="6">
        <v>5</v>
      </c>
    </row>
    <row r="11" spans="1:2" x14ac:dyDescent="0.25">
      <c r="A11" s="4" t="s">
        <v>81</v>
      </c>
      <c r="B11" s="6">
        <v>4</v>
      </c>
    </row>
    <row r="12" spans="1:2" x14ac:dyDescent="0.25">
      <c r="A12" s="4" t="s">
        <v>71</v>
      </c>
      <c r="B12" s="6"/>
    </row>
    <row r="13" spans="1:2" x14ac:dyDescent="0.25">
      <c r="A13" s="4" t="s">
        <v>54</v>
      </c>
      <c r="B13" s="6">
        <v>588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B12"/>
  <sheetViews>
    <sheetView workbookViewId="0">
      <selection activeCell="L8" sqref="L8"/>
    </sheetView>
  </sheetViews>
  <sheetFormatPr defaultRowHeight="15" x14ac:dyDescent="0.25"/>
  <cols>
    <col min="1" max="1" width="14.85546875" customWidth="1"/>
    <col min="2" max="2" width="12.140625" customWidth="1"/>
  </cols>
  <sheetData>
    <row r="1" spans="1:2" x14ac:dyDescent="0.25">
      <c r="A1" s="3" t="s">
        <v>70</v>
      </c>
      <c r="B1" t="s">
        <v>57</v>
      </c>
    </row>
    <row r="2" spans="1:2" x14ac:dyDescent="0.25">
      <c r="A2" s="4" t="s">
        <v>72</v>
      </c>
      <c r="B2" s="6">
        <v>637.2800000000002</v>
      </c>
    </row>
    <row r="3" spans="1:2" x14ac:dyDescent="0.25">
      <c r="A3" s="4" t="s">
        <v>73</v>
      </c>
      <c r="B3" s="6">
        <v>629.39000000000033</v>
      </c>
    </row>
    <row r="4" spans="1:2" x14ac:dyDescent="0.25">
      <c r="A4" s="4" t="s">
        <v>74</v>
      </c>
      <c r="B4" s="6">
        <v>528.73</v>
      </c>
    </row>
    <row r="5" spans="1:2" x14ac:dyDescent="0.25">
      <c r="A5" s="4" t="s">
        <v>75</v>
      </c>
      <c r="B5" s="6">
        <v>34.800000000000004</v>
      </c>
    </row>
    <row r="6" spans="1:2" x14ac:dyDescent="0.25">
      <c r="A6" s="4" t="s">
        <v>76</v>
      </c>
      <c r="B6" s="6">
        <v>434.28999999999996</v>
      </c>
    </row>
    <row r="7" spans="1:2" x14ac:dyDescent="0.25">
      <c r="A7" s="4" t="s">
        <v>77</v>
      </c>
      <c r="B7" s="6">
        <v>669.31</v>
      </c>
    </row>
    <row r="8" spans="1:2" x14ac:dyDescent="0.25">
      <c r="A8" s="4" t="s">
        <v>78</v>
      </c>
      <c r="B8" s="6">
        <v>797.02</v>
      </c>
    </row>
    <row r="9" spans="1:2" x14ac:dyDescent="0.25">
      <c r="A9" s="4" t="s">
        <v>79</v>
      </c>
      <c r="B9" s="6">
        <v>648.98000000000013</v>
      </c>
    </row>
    <row r="10" spans="1:2" x14ac:dyDescent="0.25">
      <c r="A10" s="4" t="s">
        <v>80</v>
      </c>
      <c r="B10" s="6">
        <v>518.90000000000009</v>
      </c>
    </row>
    <row r="11" spans="1:2" x14ac:dyDescent="0.25">
      <c r="A11" s="4" t="s">
        <v>81</v>
      </c>
      <c r="B11" s="6">
        <v>26.4</v>
      </c>
    </row>
    <row r="12" spans="1:2" x14ac:dyDescent="0.25">
      <c r="A12" s="4" t="s">
        <v>54</v>
      </c>
      <c r="B12" s="6">
        <v>4925.1000000000004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B11" sqref="B11"/>
    </sheetView>
  </sheetViews>
  <sheetFormatPr defaultRowHeight="15" x14ac:dyDescent="0.25"/>
  <cols>
    <col min="1" max="1" width="25.140625" customWidth="1"/>
    <col min="2" max="2" width="14.85546875" bestFit="1" customWidth="1"/>
    <col min="3" max="3" width="6.140625" bestFit="1" customWidth="1"/>
    <col min="4" max="4" width="6.7109375" bestFit="1" customWidth="1"/>
    <col min="5" max="5" width="10.7109375" bestFit="1" customWidth="1"/>
  </cols>
  <sheetData>
    <row r="1" spans="1:5" x14ac:dyDescent="0.25">
      <c r="A1" s="3" t="s">
        <v>65</v>
      </c>
      <c r="B1" s="3" t="s">
        <v>141</v>
      </c>
    </row>
    <row r="2" spans="1:5" x14ac:dyDescent="0.25">
      <c r="A2" s="3" t="s">
        <v>66</v>
      </c>
      <c r="B2" t="s">
        <v>61</v>
      </c>
      <c r="C2" t="s">
        <v>62</v>
      </c>
      <c r="D2" t="s">
        <v>59</v>
      </c>
      <c r="E2" t="s">
        <v>54</v>
      </c>
    </row>
    <row r="3" spans="1:5" x14ac:dyDescent="0.25">
      <c r="A3" s="4" t="s">
        <v>6</v>
      </c>
      <c r="B3" s="6">
        <v>136</v>
      </c>
      <c r="C3" s="6">
        <v>26</v>
      </c>
      <c r="D3" s="6">
        <v>148</v>
      </c>
      <c r="E3" s="6">
        <v>310</v>
      </c>
    </row>
    <row r="4" spans="1:5" x14ac:dyDescent="0.25">
      <c r="A4" s="4" t="s">
        <v>15</v>
      </c>
      <c r="B4" s="6">
        <v>57</v>
      </c>
      <c r="C4" s="6">
        <v>22</v>
      </c>
      <c r="D4" s="6">
        <v>56</v>
      </c>
      <c r="E4" s="6">
        <v>135</v>
      </c>
    </row>
    <row r="5" spans="1:5" x14ac:dyDescent="0.25">
      <c r="A5" s="4" t="s">
        <v>85</v>
      </c>
      <c r="B5" s="6">
        <v>35</v>
      </c>
      <c r="C5" s="6">
        <v>7</v>
      </c>
      <c r="D5" s="6">
        <v>33</v>
      </c>
      <c r="E5" s="6">
        <v>75</v>
      </c>
    </row>
    <row r="6" spans="1:5" x14ac:dyDescent="0.25">
      <c r="A6" s="4" t="s">
        <v>83</v>
      </c>
      <c r="B6" s="6">
        <v>13</v>
      </c>
      <c r="C6" s="6">
        <v>1</v>
      </c>
      <c r="D6" s="6">
        <v>11</v>
      </c>
      <c r="E6" s="6">
        <v>25</v>
      </c>
    </row>
    <row r="7" spans="1:5" x14ac:dyDescent="0.25">
      <c r="A7" s="4" t="s">
        <v>44</v>
      </c>
      <c r="B7" s="6">
        <v>5</v>
      </c>
      <c r="C7" s="6">
        <v>4</v>
      </c>
      <c r="D7" s="6">
        <v>6</v>
      </c>
      <c r="E7" s="6">
        <v>15</v>
      </c>
    </row>
    <row r="8" spans="1:5" x14ac:dyDescent="0.25">
      <c r="A8" s="4" t="s">
        <v>24</v>
      </c>
      <c r="B8" s="6">
        <v>4</v>
      </c>
      <c r="C8" s="6">
        <v>3</v>
      </c>
      <c r="D8" s="6">
        <v>13</v>
      </c>
      <c r="E8" s="6">
        <v>20</v>
      </c>
    </row>
    <row r="9" spans="1:5" x14ac:dyDescent="0.25">
      <c r="A9" s="4" t="s">
        <v>47</v>
      </c>
      <c r="B9" s="6">
        <v>1</v>
      </c>
      <c r="C9" s="6">
        <v>1</v>
      </c>
      <c r="D9" s="6"/>
      <c r="E9" s="6">
        <v>2</v>
      </c>
    </row>
    <row r="10" spans="1:5" x14ac:dyDescent="0.25">
      <c r="A10" s="4" t="s">
        <v>86</v>
      </c>
      <c r="B10" s="6">
        <v>1</v>
      </c>
      <c r="C10" s="6">
        <v>1</v>
      </c>
      <c r="D10" s="6"/>
      <c r="E10" s="6">
        <v>2</v>
      </c>
    </row>
    <row r="11" spans="1:5" x14ac:dyDescent="0.25">
      <c r="A11" s="4" t="s">
        <v>84</v>
      </c>
      <c r="B11" s="6"/>
      <c r="C11" s="6"/>
      <c r="D11" s="6">
        <v>4</v>
      </c>
      <c r="E11" s="6">
        <v>4</v>
      </c>
    </row>
    <row r="12" spans="1:5" x14ac:dyDescent="0.25">
      <c r="A12" s="4" t="s">
        <v>54</v>
      </c>
      <c r="B12" s="6">
        <v>252</v>
      </c>
      <c r="C12" s="6">
        <v>65</v>
      </c>
      <c r="D12" s="6">
        <v>271</v>
      </c>
      <c r="E12" s="6">
        <v>588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workbookViewId="0">
      <selection activeCell="B12" sqref="B12"/>
    </sheetView>
  </sheetViews>
  <sheetFormatPr defaultRowHeight="15" x14ac:dyDescent="0.25"/>
  <cols>
    <col min="1" max="1" width="18" bestFit="1" customWidth="1"/>
    <col min="2" max="2" width="21.85546875" customWidth="1"/>
  </cols>
  <sheetData>
    <row r="3" spans="1:2" x14ac:dyDescent="0.25">
      <c r="A3" s="3" t="s">
        <v>66</v>
      </c>
      <c r="B3" t="s">
        <v>82</v>
      </c>
    </row>
    <row r="4" spans="1:2" x14ac:dyDescent="0.25">
      <c r="A4" s="4" t="s">
        <v>44</v>
      </c>
      <c r="B4" s="6">
        <v>11.273333333333333</v>
      </c>
    </row>
    <row r="5" spans="1:2" x14ac:dyDescent="0.25">
      <c r="A5" s="4" t="s">
        <v>86</v>
      </c>
      <c r="B5" s="6">
        <v>11.1</v>
      </c>
    </row>
    <row r="6" spans="1:2" x14ac:dyDescent="0.25">
      <c r="A6" s="4" t="s">
        <v>24</v>
      </c>
      <c r="B6" s="6">
        <v>11.0595</v>
      </c>
    </row>
    <row r="7" spans="1:2" x14ac:dyDescent="0.25">
      <c r="A7" s="4" t="s">
        <v>47</v>
      </c>
      <c r="B7" s="6">
        <v>9.35</v>
      </c>
    </row>
    <row r="8" spans="1:2" x14ac:dyDescent="0.25">
      <c r="A8" s="4" t="s">
        <v>15</v>
      </c>
      <c r="B8" s="6">
        <v>8.2874814814814819</v>
      </c>
    </row>
    <row r="9" spans="1:2" x14ac:dyDescent="0.25">
      <c r="A9" s="4" t="s">
        <v>6</v>
      </c>
      <c r="B9" s="6">
        <v>8.274258064516129</v>
      </c>
    </row>
    <row r="10" spans="1:2" x14ac:dyDescent="0.25">
      <c r="A10" s="4" t="s">
        <v>85</v>
      </c>
      <c r="B10" s="6">
        <v>8.1179999999999968</v>
      </c>
    </row>
    <row r="11" spans="1:2" x14ac:dyDescent="0.25">
      <c r="A11" s="4" t="s">
        <v>83</v>
      </c>
      <c r="B11" s="6">
        <v>6.9535999999999989</v>
      </c>
    </row>
    <row r="12" spans="1:2" x14ac:dyDescent="0.25">
      <c r="A12" s="4" t="s">
        <v>84</v>
      </c>
      <c r="B12" s="6">
        <v>6.8474999999999993</v>
      </c>
    </row>
    <row r="13" spans="1:2" x14ac:dyDescent="0.25">
      <c r="A13" s="4" t="s">
        <v>116</v>
      </c>
      <c r="B13" s="6"/>
    </row>
    <row r="14" spans="1:2" x14ac:dyDescent="0.25">
      <c r="A14" s="4" t="s">
        <v>54</v>
      </c>
      <c r="B14" s="6">
        <v>8.3760204081632637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B7" sqref="B7"/>
    </sheetView>
  </sheetViews>
  <sheetFormatPr defaultRowHeight="15" x14ac:dyDescent="0.25"/>
  <cols>
    <col min="1" max="1" width="18" customWidth="1"/>
    <col min="2" max="2" width="25.140625" bestFit="1" customWidth="1"/>
  </cols>
  <sheetData>
    <row r="1" spans="1:2" x14ac:dyDescent="0.25">
      <c r="A1" s="3" t="s">
        <v>66</v>
      </c>
      <c r="B1" t="s">
        <v>65</v>
      </c>
    </row>
    <row r="2" spans="1:2" x14ac:dyDescent="0.25">
      <c r="A2" s="4" t="s">
        <v>6</v>
      </c>
      <c r="B2" s="6">
        <v>310</v>
      </c>
    </row>
    <row r="3" spans="1:2" x14ac:dyDescent="0.25">
      <c r="A3" s="4" t="s">
        <v>15</v>
      </c>
      <c r="B3" s="6">
        <v>135</v>
      </c>
    </row>
    <row r="4" spans="1:2" x14ac:dyDescent="0.25">
      <c r="A4" s="4" t="s">
        <v>85</v>
      </c>
      <c r="B4" s="6">
        <v>75</v>
      </c>
    </row>
    <row r="5" spans="1:2" x14ac:dyDescent="0.25">
      <c r="A5" s="4" t="s">
        <v>83</v>
      </c>
      <c r="B5" s="6">
        <v>25</v>
      </c>
    </row>
    <row r="6" spans="1:2" x14ac:dyDescent="0.25">
      <c r="A6" s="4" t="s">
        <v>24</v>
      </c>
      <c r="B6" s="6">
        <v>20</v>
      </c>
    </row>
    <row r="7" spans="1:2" x14ac:dyDescent="0.25">
      <c r="A7" s="4" t="s">
        <v>44</v>
      </c>
      <c r="B7" s="6">
        <v>15</v>
      </c>
    </row>
    <row r="8" spans="1:2" x14ac:dyDescent="0.25">
      <c r="A8" s="4" t="s">
        <v>84</v>
      </c>
      <c r="B8" s="6">
        <v>4</v>
      </c>
    </row>
    <row r="9" spans="1:2" x14ac:dyDescent="0.25">
      <c r="A9" s="4" t="s">
        <v>86</v>
      </c>
      <c r="B9" s="6">
        <v>2</v>
      </c>
    </row>
    <row r="10" spans="1:2" x14ac:dyDescent="0.25">
      <c r="A10" s="4" t="s">
        <v>47</v>
      </c>
      <c r="B10" s="6">
        <v>2</v>
      </c>
    </row>
    <row r="11" spans="1:2" x14ac:dyDescent="0.25">
      <c r="A11" s="4" t="s">
        <v>54</v>
      </c>
      <c r="B11" s="6">
        <v>588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G3" sqref="G3"/>
    </sheetView>
  </sheetViews>
  <sheetFormatPr defaultRowHeight="15" x14ac:dyDescent="0.25"/>
  <cols>
    <col min="1" max="1" width="15.5703125" customWidth="1"/>
    <col min="2" max="2" width="12.5703125" customWidth="1"/>
    <col min="3" max="3" width="12.42578125" customWidth="1"/>
  </cols>
  <sheetData>
    <row r="1" spans="1:3" x14ac:dyDescent="0.25">
      <c r="A1" s="3" t="s">
        <v>119</v>
      </c>
      <c r="B1" t="s">
        <v>58</v>
      </c>
      <c r="C1" t="s">
        <v>118</v>
      </c>
    </row>
    <row r="2" spans="1:3" x14ac:dyDescent="0.25">
      <c r="A2" s="4" t="s">
        <v>6</v>
      </c>
      <c r="B2" s="6">
        <v>310</v>
      </c>
      <c r="C2" s="6">
        <v>8.274258064516129</v>
      </c>
    </row>
    <row r="3" spans="1:3" x14ac:dyDescent="0.25">
      <c r="A3" s="4" t="s">
        <v>15</v>
      </c>
      <c r="B3" s="6">
        <v>135</v>
      </c>
      <c r="C3" s="6">
        <v>8.2874814814814819</v>
      </c>
    </row>
    <row r="4" spans="1:3" x14ac:dyDescent="0.25">
      <c r="A4" s="4" t="s">
        <v>85</v>
      </c>
      <c r="B4" s="6">
        <v>75</v>
      </c>
      <c r="C4" s="6">
        <v>8.1179999999999968</v>
      </c>
    </row>
    <row r="5" spans="1:3" x14ac:dyDescent="0.25">
      <c r="A5" s="4" t="s">
        <v>83</v>
      </c>
      <c r="B5" s="6">
        <v>25</v>
      </c>
      <c r="C5" s="6">
        <v>6.9535999999999989</v>
      </c>
    </row>
    <row r="6" spans="1:3" x14ac:dyDescent="0.25">
      <c r="A6" s="4" t="s">
        <v>24</v>
      </c>
      <c r="B6" s="6">
        <v>20</v>
      </c>
      <c r="C6" s="6">
        <v>11.0595</v>
      </c>
    </row>
    <row r="7" spans="1:3" x14ac:dyDescent="0.25">
      <c r="A7" s="4" t="s">
        <v>44</v>
      </c>
      <c r="B7" s="6">
        <v>15</v>
      </c>
      <c r="C7" s="6">
        <v>11.273333333333333</v>
      </c>
    </row>
    <row r="8" spans="1:3" x14ac:dyDescent="0.25">
      <c r="A8" s="4" t="s">
        <v>84</v>
      </c>
      <c r="B8" s="6">
        <v>4</v>
      </c>
      <c r="C8" s="6">
        <v>6.8474999999999993</v>
      </c>
    </row>
    <row r="9" spans="1:3" x14ac:dyDescent="0.25">
      <c r="A9" s="4" t="s">
        <v>86</v>
      </c>
      <c r="B9" s="6">
        <v>2</v>
      </c>
      <c r="C9" s="6">
        <v>11.1</v>
      </c>
    </row>
    <row r="10" spans="1:3" x14ac:dyDescent="0.25">
      <c r="A10" s="4" t="s">
        <v>47</v>
      </c>
      <c r="B10" s="6">
        <v>2</v>
      </c>
      <c r="C10" s="6">
        <v>9.35</v>
      </c>
    </row>
    <row r="11" spans="1:3" x14ac:dyDescent="0.25">
      <c r="A11" s="4" t="s">
        <v>54</v>
      </c>
      <c r="B11" s="6">
        <v>588</v>
      </c>
      <c r="C11" s="6">
        <v>8.3760204081632637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B21" sqref="B21"/>
    </sheetView>
  </sheetViews>
  <sheetFormatPr defaultRowHeight="15" x14ac:dyDescent="0.25"/>
  <cols>
    <col min="1" max="1" width="15.5703125" customWidth="1"/>
    <col min="2" max="2" width="12.42578125" customWidth="1"/>
    <col min="3" max="3" width="12.5703125" customWidth="1"/>
    <col min="4" max="4" width="12.42578125" customWidth="1"/>
  </cols>
  <sheetData>
    <row r="1" spans="1:4" x14ac:dyDescent="0.25">
      <c r="A1" s="3" t="s">
        <v>119</v>
      </c>
      <c r="B1" t="s">
        <v>120</v>
      </c>
      <c r="C1" t="s">
        <v>58</v>
      </c>
      <c r="D1" t="s">
        <v>118</v>
      </c>
    </row>
    <row r="2" spans="1:4" x14ac:dyDescent="0.25">
      <c r="A2" s="4" t="s">
        <v>6</v>
      </c>
      <c r="B2" s="6">
        <v>2565.02</v>
      </c>
      <c r="C2" s="6">
        <v>310</v>
      </c>
      <c r="D2" s="6">
        <v>8.274258064516129</v>
      </c>
    </row>
    <row r="3" spans="1:4" x14ac:dyDescent="0.25">
      <c r="A3" s="4" t="s">
        <v>15</v>
      </c>
      <c r="B3" s="6">
        <v>1118.81</v>
      </c>
      <c r="C3" s="6">
        <v>135</v>
      </c>
      <c r="D3" s="6">
        <v>8.2874814814814819</v>
      </c>
    </row>
    <row r="4" spans="1:4" x14ac:dyDescent="0.25">
      <c r="A4" s="4" t="s">
        <v>85</v>
      </c>
      <c r="B4" s="6">
        <v>608.8499999999998</v>
      </c>
      <c r="C4" s="6">
        <v>75</v>
      </c>
      <c r="D4" s="6">
        <v>8.1179999999999968</v>
      </c>
    </row>
    <row r="5" spans="1:4" x14ac:dyDescent="0.25">
      <c r="A5" s="4" t="s">
        <v>24</v>
      </c>
      <c r="B5" s="6">
        <v>221.19</v>
      </c>
      <c r="C5" s="6">
        <v>20</v>
      </c>
      <c r="D5" s="6">
        <v>11.0595</v>
      </c>
    </row>
    <row r="6" spans="1:4" x14ac:dyDescent="0.25">
      <c r="A6" s="4" t="s">
        <v>83</v>
      </c>
      <c r="B6" s="6">
        <v>173.83999999999997</v>
      </c>
      <c r="C6" s="6">
        <v>25</v>
      </c>
      <c r="D6" s="6">
        <v>6.9535999999999989</v>
      </c>
    </row>
    <row r="7" spans="1:4" x14ac:dyDescent="0.25">
      <c r="A7" s="4" t="s">
        <v>44</v>
      </c>
      <c r="B7" s="6">
        <v>169.1</v>
      </c>
      <c r="C7" s="6">
        <v>15</v>
      </c>
      <c r="D7" s="6">
        <v>11.273333333333333</v>
      </c>
    </row>
    <row r="8" spans="1:4" x14ac:dyDescent="0.25">
      <c r="A8" s="4" t="s">
        <v>84</v>
      </c>
      <c r="B8" s="6">
        <v>27.389999999999997</v>
      </c>
      <c r="C8" s="6">
        <v>4</v>
      </c>
      <c r="D8" s="6">
        <v>6.8474999999999993</v>
      </c>
    </row>
    <row r="9" spans="1:4" x14ac:dyDescent="0.25">
      <c r="A9" s="4" t="s">
        <v>86</v>
      </c>
      <c r="B9" s="6">
        <v>22.2</v>
      </c>
      <c r="C9" s="6">
        <v>2</v>
      </c>
      <c r="D9" s="6">
        <v>11.1</v>
      </c>
    </row>
    <row r="10" spans="1:4" x14ac:dyDescent="0.25">
      <c r="A10" s="4" t="s">
        <v>47</v>
      </c>
      <c r="B10" s="6">
        <v>18.7</v>
      </c>
      <c r="C10" s="6">
        <v>2</v>
      </c>
      <c r="D10" s="6">
        <v>9.35</v>
      </c>
    </row>
    <row r="11" spans="1:4" x14ac:dyDescent="0.25">
      <c r="A11" s="4" t="s">
        <v>54</v>
      </c>
      <c r="B11" s="6">
        <v>4925.0999999999985</v>
      </c>
      <c r="C11" s="6">
        <v>588</v>
      </c>
      <c r="D11" s="6">
        <v>8.3760204081632637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D2" sqref="D2"/>
    </sheetView>
  </sheetViews>
  <sheetFormatPr defaultRowHeight="15" x14ac:dyDescent="0.25"/>
  <cols>
    <col min="1" max="1" width="7" customWidth="1"/>
    <col min="2" max="2" width="10" customWidth="1"/>
    <col min="3" max="3" width="12.42578125" customWidth="1"/>
    <col min="4" max="4" width="19.42578125" customWidth="1"/>
  </cols>
  <sheetData>
    <row r="1" spans="1:4" x14ac:dyDescent="0.25">
      <c r="A1" t="s">
        <v>123</v>
      </c>
      <c r="B1" t="s">
        <v>122</v>
      </c>
      <c r="C1" t="s">
        <v>118</v>
      </c>
      <c r="D1" t="s">
        <v>121</v>
      </c>
    </row>
    <row r="2" spans="1:4" x14ac:dyDescent="0.25">
      <c r="A2" s="6">
        <v>4925.1000000000004</v>
      </c>
      <c r="B2" s="6">
        <v>588</v>
      </c>
      <c r="C2" s="6">
        <v>8.3760204081632654</v>
      </c>
      <c r="D2" s="6">
        <v>2.5295918367346917</v>
      </c>
    </row>
  </sheetData>
  <pageMargins left="0.511811024" right="0.511811024" top="0.78740157499999996" bottom="0.78740157499999996" header="0.31496062000000002" footer="0.31496062000000002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20</vt:i4>
      </vt:variant>
    </vt:vector>
  </HeadingPairs>
  <TitlesOfParts>
    <vt:vector size="20" baseType="lpstr">
      <vt:lpstr>LEGENDA</vt:lpstr>
      <vt:lpstr>dimensao_bairro</vt:lpstr>
      <vt:lpstr>tabela_origem</vt:lpstr>
      <vt:lpstr>Análise_faixa_distancia</vt:lpstr>
      <vt:lpstr>faixa_distancia x periodo</vt:lpstr>
      <vt:lpstr>comportamento_op_pulverizado</vt:lpstr>
      <vt:lpstr>comportamento_agrupamento_horas</vt:lpstr>
      <vt:lpstr>ticket_medio_faixa_horaria</vt:lpstr>
      <vt:lpstr>ticket_medio x distancia x peri</vt:lpstr>
      <vt:lpstr>faturamento_faixa_horaria</vt:lpstr>
      <vt:lpstr>regional x periodo</vt:lpstr>
      <vt:lpstr>ticket_medio_faixa_horaria (2)</vt:lpstr>
      <vt:lpstr>comportamento_agrupamento_h (2</vt:lpstr>
      <vt:lpstr>faturamento_faixa_horaria (2)</vt:lpstr>
      <vt:lpstr>regional x faixa_distancia</vt:lpstr>
      <vt:lpstr>ticket_medio_regional</vt:lpstr>
      <vt:lpstr>produtividade_regional</vt:lpstr>
      <vt:lpstr>produtividade x ticket</vt:lpstr>
      <vt:lpstr>rentabilidade_regional</vt:lpstr>
      <vt:lpstr>dashboard_operacional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2026-06-22T16:53:24Z</dcterms:modified>
</cp:coreProperties>
</file>